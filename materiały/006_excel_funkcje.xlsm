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3256" windowHeight="13176" firstSheet="5" activeTab="10"/>
  </bookViews>
  <sheets>
    <sheet name="1- f-cja mat i stat 1" sheetId="11" r:id="rId1"/>
    <sheet name="2- f-cja jeżeli()" sheetId="1" r:id="rId2"/>
    <sheet name="3 f-cja jeżeli()+oraz()" sheetId="2" r:id="rId3"/>
    <sheet name="4- f-cja jeżeli()" sheetId="10" r:id="rId4"/>
    <sheet name="5 f-cja jeżeli()" sheetId="14" r:id="rId5"/>
    <sheet name="6- f-cja licz.jeżeli" sheetId="9" r:id="rId6"/>
    <sheet name="7- f-cja licz.jeżeli()" sheetId="3" r:id="rId7"/>
    <sheet name="8-suma i średnia.jeżeli" sheetId="17" r:id="rId8"/>
    <sheet name="9- statystyczne" sheetId="4" r:id="rId9"/>
    <sheet name="10_szereg rozdzielczy" sheetId="16" r:id="rId10"/>
    <sheet name="11-Statystyka opisowa" sheetId="19" r:id="rId11"/>
  </sheets>
  <definedNames>
    <definedName name="_xlnm._FilterDatabase" localSheetId="8" hidden="1">'9- statystyczne'!$A$3:$D$38</definedName>
    <definedName name="Anita">#REF!</definedName>
    <definedName name="_xlnm.Database">#REF!</definedName>
    <definedName name="_xlnm.Criteria">#REF!</definedName>
    <definedName name="progi">#REF!</definedName>
    <definedName name="stała">#REF!</definedName>
    <definedName name="TABLE" localSheetId="6">'7- f-cja licz.jeżeli()'!#REF!</definedName>
    <definedName name="TABLE_10" localSheetId="6">'7- f-cja licz.jeżeli()'!$A$10:$G$10</definedName>
    <definedName name="TABLE_100" localSheetId="6">'7- f-cja licz.jeżeli()'!#REF!</definedName>
    <definedName name="TABLE_11" localSheetId="6">'7- f-cja licz.jeżeli()'!$A$11:$G$11</definedName>
    <definedName name="TABLE_12" localSheetId="6">'7- f-cja licz.jeżeli()'!$A$12:$G$12</definedName>
    <definedName name="TABLE_13" localSheetId="6">'7- f-cja licz.jeżeli()'!$A$13:$G$13</definedName>
    <definedName name="TABLE_14" localSheetId="6">'7- f-cja licz.jeżeli()'!$A$14:$G$14</definedName>
    <definedName name="TABLE_15" localSheetId="6">'7- f-cja licz.jeżeli()'!$A$15:$G$15</definedName>
    <definedName name="TABLE_16" localSheetId="6">'7- f-cja licz.jeżeli()'!$A$16:$G$16</definedName>
    <definedName name="TABLE_17" localSheetId="6">'7- f-cja licz.jeżeli()'!$A$17:$G$17</definedName>
    <definedName name="TABLE_18" localSheetId="6">'7- f-cja licz.jeżeli()'!$A$18:$G$18</definedName>
    <definedName name="TABLE_19" localSheetId="6">'7- f-cja licz.jeżeli()'!$A$19:$G$19</definedName>
    <definedName name="TABLE_2" localSheetId="6">'7- f-cja licz.jeżeli()'!$A$2:$B$2</definedName>
    <definedName name="TABLE_20" localSheetId="6">'7- f-cja licz.jeżeli()'!$A$20:$G$20</definedName>
    <definedName name="TABLE_21" localSheetId="6">'7- f-cja licz.jeżeli()'!$A$21:$G$21</definedName>
    <definedName name="TABLE_22" localSheetId="6">'7- f-cja licz.jeżeli()'!$A$22:$G$22</definedName>
    <definedName name="TABLE_23" localSheetId="6">'7- f-cja licz.jeżeli()'!$A$23:$G$23</definedName>
    <definedName name="TABLE_24" localSheetId="6">'7- f-cja licz.jeżeli()'!$A$24:$G$24</definedName>
    <definedName name="TABLE_25" localSheetId="6">'7- f-cja licz.jeżeli()'!$A$25:$G$25</definedName>
    <definedName name="TABLE_26" localSheetId="6">'7- f-cja licz.jeżeli()'!$A$26:$G$26</definedName>
    <definedName name="TABLE_27" localSheetId="6">'7- f-cja licz.jeżeli()'!$A$27:$G$27</definedName>
    <definedName name="TABLE_28" localSheetId="6">'7- f-cja licz.jeżeli()'!$A$28:$G$28</definedName>
    <definedName name="TABLE_29" localSheetId="6">'7- f-cja licz.jeżeli()'!$A$29:$G$29</definedName>
    <definedName name="TABLE_3" localSheetId="6">'7- f-cja licz.jeżeli()'!$A$3:$G$3</definedName>
    <definedName name="TABLE_30" localSheetId="6">'7- f-cja licz.jeżeli()'!$A$30:$G$30</definedName>
    <definedName name="TABLE_31" localSheetId="6">'7- f-cja licz.jeżeli()'!$A$31:$G$31</definedName>
    <definedName name="TABLE_32" localSheetId="6">'7- f-cja licz.jeżeli()'!$A$32:$G$32</definedName>
    <definedName name="TABLE_33" localSheetId="6">'7- f-cja licz.jeżeli()'!$A$33:$G$33</definedName>
    <definedName name="TABLE_34" localSheetId="6">'7- f-cja licz.jeżeli()'!$A$34:$G$34</definedName>
    <definedName name="TABLE_35" localSheetId="6">'7- f-cja licz.jeżeli()'!$A$35:$G$35</definedName>
    <definedName name="TABLE_36" localSheetId="6">'7- f-cja licz.jeżeli()'!$A$36:$G$36</definedName>
    <definedName name="TABLE_37" localSheetId="6">'7- f-cja licz.jeżeli()'!$A$37:$G$37</definedName>
    <definedName name="TABLE_38" localSheetId="6">'7- f-cja licz.jeżeli()'!$A$38:$G$38</definedName>
    <definedName name="TABLE_39" localSheetId="6">'7- f-cja licz.jeżeli()'!$A$39:$G$39</definedName>
    <definedName name="TABLE_4" localSheetId="6">'7- f-cja licz.jeżeli()'!$A$4:$G$4</definedName>
    <definedName name="TABLE_40" localSheetId="6">'7- f-cja licz.jeżeli()'!$A$40:$G$40</definedName>
    <definedName name="TABLE_41" localSheetId="6">'7- f-cja licz.jeżeli()'!$A$41:$G$41</definedName>
    <definedName name="TABLE_42" localSheetId="6">'7- f-cja licz.jeżeli()'!$A$42:$G$42</definedName>
    <definedName name="TABLE_43" localSheetId="6">'7- f-cja licz.jeżeli()'!$A$43:$G$43</definedName>
    <definedName name="TABLE_44" localSheetId="6">'7- f-cja licz.jeżeli()'!$A$44:$G$44</definedName>
    <definedName name="TABLE_45" localSheetId="6">'7- f-cja licz.jeżeli()'!$A$45:$G$45</definedName>
    <definedName name="TABLE_46" localSheetId="6">'7- f-cja licz.jeżeli()'!$A$46:$G$46</definedName>
    <definedName name="TABLE_47" localSheetId="6">'7- f-cja licz.jeżeli()'!$A$47:$G$47</definedName>
    <definedName name="TABLE_48" localSheetId="6">'7- f-cja licz.jeżeli()'!$A$48:$G$48</definedName>
    <definedName name="TABLE_49" localSheetId="6">'7- f-cja licz.jeżeli()'!$A$49:$G$49</definedName>
    <definedName name="TABLE_5" localSheetId="6">'7- f-cja licz.jeżeli()'!$A$5:$G$5</definedName>
    <definedName name="TABLE_50" localSheetId="6">'7- f-cja licz.jeżeli()'!$A$50:$G$50</definedName>
    <definedName name="TABLE_51" localSheetId="6">'7- f-cja licz.jeżeli()'!$A$51:$G$51</definedName>
    <definedName name="TABLE_52" localSheetId="6">'7- f-cja licz.jeżeli()'!$A$52:$G$52</definedName>
    <definedName name="TABLE_53" localSheetId="6">'7- f-cja licz.jeżeli()'!#REF!</definedName>
    <definedName name="TABLE_54" localSheetId="6">'7- f-cja licz.jeżeli()'!#REF!</definedName>
    <definedName name="TABLE_55" localSheetId="6">'7- f-cja licz.jeżeli()'!#REF!</definedName>
    <definedName name="TABLE_56" localSheetId="6">'7- f-cja licz.jeżeli()'!#REF!</definedName>
    <definedName name="TABLE_57" localSheetId="6">'7- f-cja licz.jeżeli()'!#REF!</definedName>
    <definedName name="TABLE_58" localSheetId="6">'7- f-cja licz.jeżeli()'!#REF!</definedName>
    <definedName name="TABLE_59" localSheetId="6">'7- f-cja licz.jeżeli()'!#REF!</definedName>
    <definedName name="TABLE_6" localSheetId="6">'7- f-cja licz.jeżeli()'!$A$6:$G$6</definedName>
    <definedName name="TABLE_60" localSheetId="6">'7- f-cja licz.jeżeli()'!#REF!</definedName>
    <definedName name="TABLE_61" localSheetId="6">'7- f-cja licz.jeżeli()'!#REF!</definedName>
    <definedName name="TABLE_62" localSheetId="6">'7- f-cja licz.jeżeli()'!#REF!</definedName>
    <definedName name="TABLE_63" localSheetId="6">'7- f-cja licz.jeżeli()'!#REF!</definedName>
    <definedName name="TABLE_64" localSheetId="6">'7- f-cja licz.jeżeli()'!#REF!</definedName>
    <definedName name="TABLE_65" localSheetId="6">'7- f-cja licz.jeżeli()'!#REF!</definedName>
    <definedName name="TABLE_66" localSheetId="6">'7- f-cja licz.jeżeli()'!#REF!</definedName>
    <definedName name="TABLE_67" localSheetId="6">'7- f-cja licz.jeżeli()'!#REF!</definedName>
    <definedName name="TABLE_68" localSheetId="6">'7- f-cja licz.jeżeli()'!#REF!</definedName>
    <definedName name="TABLE_69" localSheetId="6">'7- f-cja licz.jeżeli()'!#REF!</definedName>
    <definedName name="TABLE_7" localSheetId="6">'7- f-cja licz.jeżeli()'!$A$7:$G$7</definedName>
    <definedName name="TABLE_70" localSheetId="6">'7- f-cja licz.jeżeli()'!#REF!</definedName>
    <definedName name="TABLE_71" localSheetId="6">'7- f-cja licz.jeżeli()'!#REF!</definedName>
    <definedName name="TABLE_72" localSheetId="6">'7- f-cja licz.jeżeli()'!#REF!</definedName>
    <definedName name="TABLE_73" localSheetId="6">'7- f-cja licz.jeżeli()'!#REF!</definedName>
    <definedName name="TABLE_74" localSheetId="6">'7- f-cja licz.jeżeli()'!#REF!</definedName>
    <definedName name="TABLE_75" localSheetId="6">'7- f-cja licz.jeżeli()'!#REF!</definedName>
    <definedName name="TABLE_76" localSheetId="6">'7- f-cja licz.jeżeli()'!#REF!</definedName>
    <definedName name="TABLE_77" localSheetId="6">'7- f-cja licz.jeżeli()'!#REF!</definedName>
    <definedName name="TABLE_78" localSheetId="6">'7- f-cja licz.jeżeli()'!#REF!</definedName>
    <definedName name="TABLE_79" localSheetId="6">'7- f-cja licz.jeżeli()'!#REF!</definedName>
    <definedName name="TABLE_8" localSheetId="6">'7- f-cja licz.jeżeli()'!$A$8:$G$8</definedName>
    <definedName name="TABLE_80" localSheetId="6">'7- f-cja licz.jeżeli()'!#REF!</definedName>
    <definedName name="TABLE_81" localSheetId="6">'7- f-cja licz.jeżeli()'!#REF!</definedName>
    <definedName name="TABLE_82" localSheetId="6">'7- f-cja licz.jeżeli()'!#REF!</definedName>
    <definedName name="TABLE_83" localSheetId="6">'7- f-cja licz.jeżeli()'!#REF!</definedName>
    <definedName name="TABLE_84" localSheetId="6">'7- f-cja licz.jeżeli()'!#REF!</definedName>
    <definedName name="TABLE_85" localSheetId="6">'7- f-cja licz.jeżeli()'!#REF!</definedName>
    <definedName name="TABLE_86" localSheetId="6">'7- f-cja licz.jeżeli()'!#REF!</definedName>
    <definedName name="TABLE_87" localSheetId="6">'7- f-cja licz.jeżeli()'!#REF!</definedName>
    <definedName name="TABLE_88" localSheetId="6">'7- f-cja licz.jeżeli()'!#REF!</definedName>
    <definedName name="TABLE_89" localSheetId="6">'7- f-cja licz.jeżeli()'!#REF!</definedName>
    <definedName name="TABLE_9" localSheetId="6">'7- f-cja licz.jeżeli()'!$A$9:$G$9</definedName>
    <definedName name="TABLE_90" localSheetId="6">'7- f-cja licz.jeżeli()'!#REF!</definedName>
    <definedName name="TABLE_91" localSheetId="6">'7- f-cja licz.jeżeli()'!#REF!</definedName>
    <definedName name="TABLE_92" localSheetId="6">'7- f-cja licz.jeżeli()'!#REF!</definedName>
    <definedName name="TABLE_93" localSheetId="6">'7- f-cja licz.jeżeli()'!#REF!</definedName>
    <definedName name="TABLE_94" localSheetId="6">'7- f-cja licz.jeżeli()'!#REF!</definedName>
    <definedName name="TABLE_95" localSheetId="6">'7- f-cja licz.jeżeli()'!#REF!</definedName>
    <definedName name="TABLE_96" localSheetId="6">'7- f-cja licz.jeżeli()'!#REF!</definedName>
    <definedName name="TABLE_97" localSheetId="6">'7- f-cja licz.jeżeli()'!#REF!</definedName>
    <definedName name="TABLE_98" localSheetId="6">'7- f-cja licz.jeżeli()'!#REF!</definedName>
    <definedName name="TABLE_99" localSheetId="6">'7- f-cja licz.jeżeli()'!#REF!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10" l="1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10" i="10"/>
  <c r="Q30" i="17" l="1"/>
</calcChain>
</file>

<file path=xl/comments1.xml><?xml version="1.0" encoding="utf-8"?>
<comments xmlns="http://schemas.openxmlformats.org/spreadsheetml/2006/main">
  <authors>
    <author>pracownia komputerowa</author>
  </authors>
  <commentList>
    <comment ref="D1" authorId="0">
      <text>
        <r>
          <rPr>
            <sz val="8"/>
            <color indexed="81"/>
            <rFont val="Tahoma"/>
            <family val="2"/>
            <charset val="238"/>
          </rPr>
          <t xml:space="preserve">Zdał- ocena 6,5,4,3
nie zdał - ocena 2,1
</t>
        </r>
      </text>
    </comment>
  </commentList>
</comments>
</file>

<file path=xl/comments2.xml><?xml version="1.0" encoding="utf-8"?>
<comments xmlns="http://schemas.openxmlformats.org/spreadsheetml/2006/main">
  <authors>
    <author>ANNA</author>
    <author>BDK</author>
  </authors>
  <commentList>
    <comment ref="F5" authorId="0">
      <text>
        <r>
          <rPr>
            <b/>
            <sz val="8"/>
            <color indexed="81"/>
            <rFont val="Tahoma"/>
            <family val="2"/>
            <charset val="238"/>
          </rPr>
          <t>wartości progowe-
prawe końce przedziałów</t>
        </r>
      </text>
    </comment>
    <comment ref="G5" authorId="0">
      <text>
        <r>
          <rPr>
            <b/>
            <sz val="8"/>
            <color indexed="81"/>
            <rFont val="Tahoma"/>
            <family val="2"/>
            <charset val="238"/>
          </rPr>
          <t>częstość()
czyli ile wartości występuje w każdym przedziale</t>
        </r>
      </text>
    </comment>
    <comment ref="F6" authorId="1">
      <text>
        <r>
          <rPr>
            <b/>
            <sz val="8"/>
            <color indexed="81"/>
            <rFont val="Tahoma"/>
            <family val="2"/>
            <charset val="238"/>
          </rPr>
          <t>(120-130]</t>
        </r>
      </text>
    </comment>
    <comment ref="F13" authorId="0">
      <text>
        <r>
          <rPr>
            <b/>
            <sz val="8"/>
            <color indexed="81"/>
            <rFont val="Tahoma"/>
            <family val="2"/>
            <charset val="238"/>
          </rPr>
          <t>(190-200]</t>
        </r>
      </text>
    </comment>
  </commentList>
</comments>
</file>

<file path=xl/sharedStrings.xml><?xml version="1.0" encoding="utf-8"?>
<sst xmlns="http://schemas.openxmlformats.org/spreadsheetml/2006/main" count="467" uniqueCount="254">
  <si>
    <t>NAZWISKO</t>
  </si>
  <si>
    <t>IMIE</t>
  </si>
  <si>
    <t xml:space="preserve">Ocena </t>
  </si>
  <si>
    <t>wynik egzaminu</t>
  </si>
  <si>
    <t>PIOTROWSKA</t>
  </si>
  <si>
    <t>LUCYNA</t>
  </si>
  <si>
    <t>PIKUS</t>
  </si>
  <si>
    <t>JANUSZ</t>
  </si>
  <si>
    <t>DONDALSKA</t>
  </si>
  <si>
    <t>DONATA</t>
  </si>
  <si>
    <t>SAJUR-MALECKA</t>
  </si>
  <si>
    <t>MIROSLAWA</t>
  </si>
  <si>
    <t>RUTKIEWICZ</t>
  </si>
  <si>
    <t>TADEUSZ</t>
  </si>
  <si>
    <t>GRZYMKOWSKI</t>
  </si>
  <si>
    <t>DARIUSZ</t>
  </si>
  <si>
    <t>DRONSKI</t>
  </si>
  <si>
    <t>ANDRZEJ</t>
  </si>
  <si>
    <t>IGLINSKI</t>
  </si>
  <si>
    <t>ROZLUCKI</t>
  </si>
  <si>
    <t>ALBERT</t>
  </si>
  <si>
    <t>ZAWILSKA</t>
  </si>
  <si>
    <t>JADWIGA</t>
  </si>
  <si>
    <t>KLIMOROWSKI</t>
  </si>
  <si>
    <t>KAZIMIERZ</t>
  </si>
  <si>
    <t>KORCZ-BOMBALA</t>
  </si>
  <si>
    <t>ANNA</t>
  </si>
  <si>
    <t>LUKASZEWICZ</t>
  </si>
  <si>
    <t>PIOTR</t>
  </si>
  <si>
    <t>RADZKA</t>
  </si>
  <si>
    <t>ELZBIETA</t>
  </si>
  <si>
    <t>PAWLOWSKI</t>
  </si>
  <si>
    <t>WIESLAW</t>
  </si>
  <si>
    <t>BUDNIK</t>
  </si>
  <si>
    <t>BRONISLAWA</t>
  </si>
  <si>
    <t>SZMALC</t>
  </si>
  <si>
    <t>DABROWSKI</t>
  </si>
  <si>
    <t>LUCJAN</t>
  </si>
  <si>
    <t>MYSZKO</t>
  </si>
  <si>
    <t>MALGORZATA</t>
  </si>
  <si>
    <t>SNOCH</t>
  </si>
  <si>
    <t>STANISLAW</t>
  </si>
  <si>
    <t>STANISZEWSKI</t>
  </si>
  <si>
    <t>LECH</t>
  </si>
  <si>
    <t>DZIENIAKOWSKI</t>
  </si>
  <si>
    <t>RYSZARD</t>
  </si>
  <si>
    <t>TYMOWSKI</t>
  </si>
  <si>
    <t>JOZEF</t>
  </si>
  <si>
    <t>ZANDER</t>
  </si>
  <si>
    <t>MAJEWSKI</t>
  </si>
  <si>
    <t>SERGIUSZ</t>
  </si>
  <si>
    <t>SZYMANSKA-JASINSKA</t>
  </si>
  <si>
    <t>MARIANNA</t>
  </si>
  <si>
    <t>SADLOWSKA</t>
  </si>
  <si>
    <t>ALEKSANDRA</t>
  </si>
  <si>
    <t>PAJAK</t>
  </si>
  <si>
    <t>KRZYSZTOF</t>
  </si>
  <si>
    <t>ENDLER</t>
  </si>
  <si>
    <t>JACEK</t>
  </si>
  <si>
    <t>ZAREBA</t>
  </si>
  <si>
    <t>MICHAL</t>
  </si>
  <si>
    <t>WISNIEWSKI</t>
  </si>
  <si>
    <t>DUZIAK</t>
  </si>
  <si>
    <t>JAN</t>
  </si>
  <si>
    <t>GLEBOCKI</t>
  </si>
  <si>
    <t>EUGENIUSZ</t>
  </si>
  <si>
    <t>BLONSKI</t>
  </si>
  <si>
    <t>KOWALSKI</t>
  </si>
  <si>
    <t>MAREK</t>
  </si>
  <si>
    <t>LAPINSKI</t>
  </si>
  <si>
    <t>LESZEK</t>
  </si>
  <si>
    <t>LASTOWSKA</t>
  </si>
  <si>
    <t>DANUTA</t>
  </si>
  <si>
    <t>ABRAMCZUK</t>
  </si>
  <si>
    <t>JERZY</t>
  </si>
  <si>
    <t>KACZMARSKI</t>
  </si>
  <si>
    <t>DREZNIAK</t>
  </si>
  <si>
    <t>TERESA</t>
  </si>
  <si>
    <t>IDZKOWSKA</t>
  </si>
  <si>
    <t>CZESLAWA</t>
  </si>
  <si>
    <t>KALISZ</t>
  </si>
  <si>
    <t>BRONISLAW</t>
  </si>
  <si>
    <t>KUCZAWSKI</t>
  </si>
  <si>
    <t>MACIEJ</t>
  </si>
  <si>
    <t>ZAJACZKOWSKA-PAWLOWICZ</t>
  </si>
  <si>
    <t>RESZUTA</t>
  </si>
  <si>
    <t>RATUSZNY</t>
  </si>
  <si>
    <t>HENRYK</t>
  </si>
  <si>
    <t>BARCZ</t>
  </si>
  <si>
    <t>EDWARD</t>
  </si>
  <si>
    <t>SZTEYN</t>
  </si>
  <si>
    <t>Miejsce</t>
  </si>
  <si>
    <t>Zwolniony</t>
  </si>
  <si>
    <t>Rok studiów</t>
  </si>
  <si>
    <t>Dochód na członka rodziny</t>
  </si>
  <si>
    <t>Kowalski</t>
  </si>
  <si>
    <t>Mańkowski</t>
  </si>
  <si>
    <t>Zalewska</t>
  </si>
  <si>
    <t>Marcinkiewicz</t>
  </si>
  <si>
    <t>Dąbrowski</t>
  </si>
  <si>
    <t>Michałowski</t>
  </si>
  <si>
    <t>Janczak</t>
  </si>
  <si>
    <t>Kamińska</t>
  </si>
  <si>
    <t>Fafiński</t>
  </si>
  <si>
    <t>Data:</t>
  </si>
  <si>
    <t>Wyniki:</t>
  </si>
  <si>
    <t>CZĘSTOŚĆ LOSOWAŃ</t>
  </si>
  <si>
    <t>KULA</t>
  </si>
  <si>
    <t>Sprzedaż</t>
  </si>
  <si>
    <t>Częstość sprzedaży</t>
  </si>
  <si>
    <t>Data</t>
  </si>
  <si>
    <t>razem</t>
  </si>
  <si>
    <t>przedziały</t>
  </si>
  <si>
    <t>częstość</t>
  </si>
  <si>
    <t>suma</t>
  </si>
  <si>
    <t>średnia</t>
  </si>
  <si>
    <t>min</t>
  </si>
  <si>
    <t>max</t>
  </si>
  <si>
    <t>występująca 
najczęściej</t>
  </si>
  <si>
    <t>1)    Oblicz wartość Wskażnika Masy Ciała (BMI) oraz sumę i średnią masę ciała pracowników pewnego szpitala,</t>
  </si>
  <si>
    <t>Nazwisko i imię pacjenta</t>
  </si>
  <si>
    <t>masa ciała              w kg</t>
  </si>
  <si>
    <t>wzrost            w metrach</t>
  </si>
  <si>
    <t>wiek</t>
  </si>
  <si>
    <t>BMI</t>
  </si>
  <si>
    <t xml:space="preserve">Uwaga! </t>
  </si>
  <si>
    <t>BMI                     Waga</t>
  </si>
  <si>
    <t>Abakanowicz Adam</t>
  </si>
  <si>
    <t xml:space="preserve">&lt;18,5                   </t>
  </si>
  <si>
    <t>niedowaga</t>
  </si>
  <si>
    <t>Barska Aleda</t>
  </si>
  <si>
    <t xml:space="preserve">18,5 - 24,9            </t>
  </si>
  <si>
    <t>prawidłowa</t>
  </si>
  <si>
    <t>Brakoniecki Jacek</t>
  </si>
  <si>
    <t xml:space="preserve">25 - 29,9               </t>
  </si>
  <si>
    <t>nadwaga</t>
  </si>
  <si>
    <t>Celiński Marian</t>
  </si>
  <si>
    <t xml:space="preserve">&gt;=30                   </t>
  </si>
  <si>
    <t>otyłość</t>
  </si>
  <si>
    <t>Czacki Józef</t>
  </si>
  <si>
    <t>Dąbek Agata</t>
  </si>
  <si>
    <t>Fedorczuk Paweł</t>
  </si>
  <si>
    <t>Gawrońska Magdalena</t>
  </si>
  <si>
    <t>Gwizdoń Piotr</t>
  </si>
  <si>
    <t>Horodyński Adam</t>
  </si>
  <si>
    <t>Kamiński Marian</t>
  </si>
  <si>
    <t>Kilińska Magdalena</t>
  </si>
  <si>
    <t>Kowalska Iwona</t>
  </si>
  <si>
    <t>Kubaj Witold</t>
  </si>
  <si>
    <t>Kwiecińska Anna</t>
  </si>
  <si>
    <t>Kwazarski Maciej</t>
  </si>
  <si>
    <t>Lato Izabela</t>
  </si>
  <si>
    <t>Lelek Radosław</t>
  </si>
  <si>
    <t>Łatka Anna</t>
  </si>
  <si>
    <t>Łętor Michał</t>
  </si>
  <si>
    <t>Łokietek Jadwiga</t>
  </si>
  <si>
    <t>Mandaryn Jacek</t>
  </si>
  <si>
    <t>Munio Ewelina</t>
  </si>
  <si>
    <t>Nawrocki Marian</t>
  </si>
  <si>
    <t>Part Andrzej</t>
  </si>
  <si>
    <t>Rowecki Piotr</t>
  </si>
  <si>
    <t>Sawicka Zofia</t>
  </si>
  <si>
    <t>Wawrów Zbigniew</t>
  </si>
  <si>
    <t>Wyrwidąb Adam</t>
  </si>
  <si>
    <t>Zdun Paulina</t>
  </si>
  <si>
    <t xml:space="preserve">średnia </t>
  </si>
  <si>
    <t>ilość punktów</t>
  </si>
  <si>
    <t>%</t>
  </si>
  <si>
    <t>Cholesterol</t>
  </si>
  <si>
    <t>dane 1</t>
  </si>
  <si>
    <t>dane 2</t>
  </si>
  <si>
    <t>dane 3</t>
  </si>
  <si>
    <t>dane 1 zestawienie</t>
  </si>
  <si>
    <t>dane 2 zestawienie</t>
  </si>
  <si>
    <t>dane 3 zestawienie</t>
  </si>
  <si>
    <t xml:space="preserve">ile liczb </t>
  </si>
  <si>
    <t>Razem zestawienie</t>
  </si>
  <si>
    <t>dla danych 1, 2 i 3</t>
  </si>
  <si>
    <r>
      <t xml:space="preserve">mg  na 100 </t>
    </r>
    <r>
      <rPr>
        <sz val="11"/>
        <rFont val="Symbol"/>
        <family val="1"/>
        <charset val="2"/>
      </rPr>
      <t>m</t>
    </r>
    <r>
      <rPr>
        <sz val="11"/>
        <rFont val="Arial"/>
        <family val="2"/>
      </rPr>
      <t>l krwi</t>
    </r>
  </si>
  <si>
    <t>niedziela</t>
  </si>
  <si>
    <t>poniedziałek</t>
  </si>
  <si>
    <t>wtorek</t>
  </si>
  <si>
    <t>środa</t>
  </si>
  <si>
    <t>czwartek</t>
  </si>
  <si>
    <t>piątek</t>
  </si>
  <si>
    <t>sobota</t>
  </si>
  <si>
    <t>wrzesień</t>
  </si>
  <si>
    <t>płeć</t>
  </si>
  <si>
    <t>mężczyzna</t>
  </si>
  <si>
    <t>kobieta</t>
  </si>
  <si>
    <t>premia okolicznosciowa</t>
  </si>
  <si>
    <t>do wypłaty</t>
  </si>
  <si>
    <t>Nazwisko i imię pracownika</t>
  </si>
  <si>
    <t>podwyżka wynagrodzenia</t>
  </si>
  <si>
    <t>wynagrodzenie zasadnicze         w lutym w zł</t>
  </si>
  <si>
    <t>Ilość sztuk razem</t>
  </si>
  <si>
    <t>ilość danych=</t>
  </si>
  <si>
    <t>Lewy</t>
  </si>
  <si>
    <t>Prawy</t>
  </si>
  <si>
    <t xml:space="preserve">Liczebność </t>
  </si>
  <si>
    <t>max=</t>
  </si>
  <si>
    <t>min=</t>
  </si>
  <si>
    <t>max-min=</t>
  </si>
  <si>
    <t>ile liczb</t>
  </si>
  <si>
    <t xml:space="preserve">liczebność </t>
  </si>
  <si>
    <t>Lipiec</t>
  </si>
  <si>
    <t>liczba osób</t>
  </si>
  <si>
    <t>Sierpień</t>
  </si>
  <si>
    <t>Wrzesień</t>
  </si>
  <si>
    <t>dzień</t>
  </si>
  <si>
    <t>Krwiodawcy</t>
  </si>
  <si>
    <t>średnia/dzień</t>
  </si>
  <si>
    <t>III kwartał roku</t>
  </si>
  <si>
    <t>Stypendium1</t>
  </si>
  <si>
    <t>Stypendium2</t>
  </si>
  <si>
    <r>
      <t xml:space="preserve">1. </t>
    </r>
    <r>
      <rPr>
        <sz val="11"/>
        <rFont val="Arial CE"/>
        <charset val="238"/>
      </rPr>
      <t xml:space="preserve">Zakładając, iż studenci, którzy zajęli </t>
    </r>
    <r>
      <rPr>
        <b/>
        <sz val="11"/>
        <rFont val="Arial CE"/>
        <charset val="238"/>
      </rPr>
      <t xml:space="preserve">jedno z trzech pierwszych miejsc </t>
    </r>
    <r>
      <rPr>
        <sz val="11"/>
        <rFont val="Arial CE"/>
        <charset val="238"/>
      </rPr>
      <t>w uczelnianym konkursie wiedzy o anatomii</t>
    </r>
  </si>
  <si>
    <r>
      <t xml:space="preserve"> są zwolnieni z egzaminu z anatomii wypełnij, uzywając funkcji </t>
    </r>
    <r>
      <rPr>
        <b/>
        <sz val="11"/>
        <rFont val="Arial CE"/>
        <charset val="238"/>
      </rPr>
      <t>jeżeli()</t>
    </r>
    <r>
      <rPr>
        <sz val="11"/>
        <rFont val="Arial CE"/>
        <charset val="238"/>
      </rPr>
      <t xml:space="preserve"> kolumnę</t>
    </r>
    <r>
      <rPr>
        <b/>
        <sz val="11"/>
        <rFont val="Arial CE"/>
        <charset val="238"/>
      </rPr>
      <t xml:space="preserve"> ZWOLNIONY </t>
    </r>
    <r>
      <rPr>
        <sz val="11"/>
        <rFont val="Arial CE"/>
        <charset val="238"/>
      </rPr>
      <t xml:space="preserve">napisami </t>
    </r>
    <r>
      <rPr>
        <b/>
        <sz val="11"/>
        <rFont val="Arial CE"/>
        <charset val="238"/>
      </rPr>
      <t xml:space="preserve">TAK </t>
    </r>
    <r>
      <rPr>
        <sz val="11"/>
        <rFont val="Arial CE"/>
        <charset val="238"/>
      </rPr>
      <t xml:space="preserve">lub </t>
    </r>
    <r>
      <rPr>
        <b/>
        <sz val="11"/>
        <rFont val="Arial CE"/>
        <charset val="238"/>
      </rPr>
      <t>NIE</t>
    </r>
  </si>
  <si>
    <r>
      <t xml:space="preserve">2. </t>
    </r>
    <r>
      <rPr>
        <sz val="11"/>
        <rFont val="Arial CE"/>
        <charset val="238"/>
      </rPr>
      <t>Używając funkcji</t>
    </r>
    <r>
      <rPr>
        <b/>
        <sz val="11"/>
        <rFont val="Arial CE"/>
        <charset val="238"/>
      </rPr>
      <t xml:space="preserve"> jeżeli() </t>
    </r>
    <r>
      <rPr>
        <sz val="11"/>
        <rFont val="Arial CE"/>
        <charset val="238"/>
      </rPr>
      <t xml:space="preserve">i funkcji </t>
    </r>
    <r>
      <rPr>
        <b/>
        <sz val="11"/>
        <rFont val="Arial CE"/>
        <family val="2"/>
        <charset val="238"/>
      </rPr>
      <t xml:space="preserve">oraz() </t>
    </r>
    <r>
      <rPr>
        <sz val="11"/>
        <rFont val="Arial CE"/>
        <charset val="238"/>
      </rPr>
      <t>wypełnij kolumnę</t>
    </r>
    <r>
      <rPr>
        <b/>
        <sz val="11"/>
        <rFont val="Arial CE"/>
        <family val="2"/>
        <charset val="238"/>
      </rPr>
      <t xml:space="preserve"> STYPENDIUM1 </t>
    </r>
    <r>
      <rPr>
        <sz val="11"/>
        <rFont val="Arial CE"/>
        <charset val="238"/>
      </rPr>
      <t xml:space="preserve">zakładając, iż stypendium w wysokości </t>
    </r>
    <r>
      <rPr>
        <b/>
        <sz val="11"/>
        <rFont val="Arial CE"/>
        <family val="2"/>
        <charset val="238"/>
      </rPr>
      <t xml:space="preserve">1000 zł </t>
    </r>
  </si>
  <si>
    <r>
      <rPr>
        <sz val="11"/>
        <rFont val="Arial CE"/>
        <charset val="238"/>
      </rPr>
      <t>przysługuje studentom</t>
    </r>
    <r>
      <rPr>
        <b/>
        <sz val="11"/>
        <rFont val="Arial CE"/>
        <family val="2"/>
        <charset val="238"/>
      </rPr>
      <t xml:space="preserve"> od 2 roku, </t>
    </r>
    <r>
      <rPr>
        <sz val="11"/>
        <rFont val="Arial CE"/>
        <charset val="238"/>
      </rPr>
      <t xml:space="preserve">których dochód na 1 członka rodziny </t>
    </r>
    <r>
      <rPr>
        <b/>
        <sz val="11"/>
        <rFont val="Arial CE"/>
        <family val="2"/>
        <charset val="238"/>
      </rPr>
      <t>nie przekracza 1200 zł</t>
    </r>
  </si>
  <si>
    <r>
      <t xml:space="preserve">3. </t>
    </r>
    <r>
      <rPr>
        <sz val="11"/>
        <rFont val="Arial CE"/>
        <charset val="238"/>
      </rPr>
      <t xml:space="preserve">Używając </t>
    </r>
    <r>
      <rPr>
        <b/>
        <sz val="11"/>
        <rFont val="Arial CE"/>
        <family val="2"/>
        <charset val="238"/>
      </rPr>
      <t xml:space="preserve">zagnieżdżonej </t>
    </r>
    <r>
      <rPr>
        <sz val="11"/>
        <rFont val="Arial CE"/>
        <charset val="238"/>
      </rPr>
      <t>funkcji</t>
    </r>
    <r>
      <rPr>
        <b/>
        <sz val="11"/>
        <rFont val="Arial CE"/>
        <family val="2"/>
        <charset val="238"/>
      </rPr>
      <t xml:space="preserve"> jeżeli() </t>
    </r>
    <r>
      <rPr>
        <sz val="11"/>
        <rFont val="Arial CE"/>
        <charset val="238"/>
      </rPr>
      <t>wypełnij kolumnę</t>
    </r>
    <r>
      <rPr>
        <b/>
        <sz val="11"/>
        <rFont val="Arial CE"/>
        <family val="2"/>
        <charset val="238"/>
      </rPr>
      <t xml:space="preserve"> STYPENDIUM2</t>
    </r>
    <r>
      <rPr>
        <sz val="11"/>
        <rFont val="Arial CE"/>
        <charset val="238"/>
      </rPr>
      <t>, zakładając</t>
    </r>
    <r>
      <rPr>
        <b/>
        <sz val="11"/>
        <rFont val="Arial CE"/>
        <family val="2"/>
        <charset val="238"/>
      </rPr>
      <t xml:space="preserve"> </t>
    </r>
    <r>
      <rPr>
        <sz val="11"/>
        <rFont val="Arial CE"/>
        <charset val="238"/>
      </rPr>
      <t xml:space="preserve">iż stypendium przysługuje </t>
    </r>
  </si>
  <si>
    <r>
      <rPr>
        <sz val="11"/>
        <rFont val="Arial CE"/>
        <charset val="238"/>
      </rPr>
      <t xml:space="preserve">studentom </t>
    </r>
    <r>
      <rPr>
        <b/>
        <sz val="11"/>
        <rFont val="Arial CE"/>
        <family val="2"/>
        <charset val="238"/>
      </rPr>
      <t>od 2 roku</t>
    </r>
    <r>
      <rPr>
        <sz val="11"/>
        <rFont val="Arial CE"/>
        <charset val="238"/>
      </rPr>
      <t xml:space="preserve"> w wysokosci: </t>
    </r>
  </si>
  <si>
    <r>
      <t>1400,</t>
    </r>
    <r>
      <rPr>
        <sz val="11"/>
        <rFont val="Arial CE"/>
        <charset val="238"/>
      </rPr>
      <t xml:space="preserve"> dla tych których dochód na 1 członka rodziny </t>
    </r>
    <r>
      <rPr>
        <b/>
        <sz val="11"/>
        <rFont val="Arial CE"/>
        <family val="2"/>
        <charset val="238"/>
      </rPr>
      <t>nie przekracza 1000 zł,</t>
    </r>
  </si>
  <si>
    <r>
      <t xml:space="preserve">1000, </t>
    </r>
    <r>
      <rPr>
        <sz val="11"/>
        <rFont val="Arial CE"/>
        <charset val="238"/>
      </rPr>
      <t xml:space="preserve">dla tych których dochód na 1 członka rodziny mieści się </t>
    </r>
    <r>
      <rPr>
        <b/>
        <sz val="11"/>
        <rFont val="Arial CE"/>
        <family val="2"/>
        <charset val="238"/>
      </rPr>
      <t>w przedziale (1000zł;1200zł]</t>
    </r>
  </si>
  <si>
    <t>x</t>
  </si>
  <si>
    <t>mediana</t>
  </si>
  <si>
    <t>ilośc niepustych</t>
  </si>
  <si>
    <t>ilośc pustych</t>
  </si>
  <si>
    <t>dominanta (modalna)</t>
  </si>
  <si>
    <t>ilość uczniów (zastosuj nazwę dla danych D5:M9)</t>
  </si>
  <si>
    <t>ilość uczniów (zastosuj znak $)</t>
  </si>
  <si>
    <r>
      <t xml:space="preserve"> 1.</t>
    </r>
    <r>
      <rPr>
        <sz val="12"/>
        <rFont val="Times New Roman"/>
        <family val="1"/>
        <charset val="238"/>
      </rPr>
      <t xml:space="preserve"> Obwiedź dane źródłowe podwójną linią  o kolorze granatowym</t>
    </r>
  </si>
  <si>
    <r>
      <t xml:space="preserve"> 2.</t>
    </r>
    <r>
      <rPr>
        <sz val="12"/>
        <rFont val="Times New Roman"/>
        <family val="1"/>
        <charset val="238"/>
      </rPr>
      <t xml:space="preserve"> W komórce </t>
    </r>
    <r>
      <rPr>
        <b/>
        <sz val="12"/>
        <rFont val="Times New Roman"/>
        <family val="1"/>
        <charset val="238"/>
      </rPr>
      <t>K12</t>
    </r>
    <r>
      <rPr>
        <sz val="12"/>
        <rFont val="Times New Roman"/>
        <family val="1"/>
        <charset val="238"/>
      </rPr>
      <t xml:space="preserve"> oznaczonej kolorem żółtym policz ilu uczniów pisało kolokwium (użyj odpowiedniej funkcji)</t>
    </r>
  </si>
  <si>
    <r>
      <t xml:space="preserve"> 4.  </t>
    </r>
    <r>
      <rPr>
        <sz val="12"/>
        <rFont val="Times New Roman"/>
        <family val="1"/>
      </rPr>
      <t>Wypełnij pola zaznaczone na zielono.</t>
    </r>
  </si>
  <si>
    <r>
      <t xml:space="preserve"> 3. </t>
    </r>
    <r>
      <rPr>
        <sz val="12"/>
        <rFont val="Times New Roman"/>
        <family val="1"/>
      </rPr>
      <t xml:space="preserve">Zbuduj </t>
    </r>
    <r>
      <rPr>
        <b/>
        <sz val="12"/>
        <rFont val="Times New Roman"/>
        <family val="1"/>
        <charset val="238"/>
      </rPr>
      <t xml:space="preserve">szereg punktowy </t>
    </r>
    <r>
      <rPr>
        <sz val="12"/>
        <rFont val="Times New Roman"/>
        <family val="1"/>
        <charset val="238"/>
      </rPr>
      <t>dwoma sposobami w kolumnach</t>
    </r>
    <r>
      <rPr>
        <b/>
        <sz val="12"/>
        <rFont val="Times New Roman"/>
        <family val="1"/>
        <charset val="238"/>
      </rPr>
      <t xml:space="preserve"> B</t>
    </r>
    <r>
      <rPr>
        <sz val="12"/>
        <rFont val="Times New Roman"/>
        <family val="1"/>
        <charset val="238"/>
      </rPr>
      <t xml:space="preserve"> i </t>
    </r>
    <r>
      <rPr>
        <b/>
        <sz val="12"/>
        <rFont val="Times New Roman"/>
        <family val="1"/>
        <charset val="238"/>
      </rPr>
      <t>C</t>
    </r>
    <r>
      <rPr>
        <sz val="12"/>
        <rFont val="Times New Roman"/>
        <family val="1"/>
      </rPr>
      <t>, który będzie ilustrował ilu jest uczniów, którzy dostali 1 punkt, 2 punkty, ..., 10 punktów;</t>
    </r>
  </si>
  <si>
    <t>mc wrzesień 2019</t>
  </si>
  <si>
    <t>lekarstwo B</t>
  </si>
  <si>
    <t>lekarstwo A</t>
  </si>
  <si>
    <t>Ilość sztuk (opakowania po 10 tabletek)</t>
  </si>
  <si>
    <t>Tabelka 1</t>
  </si>
  <si>
    <t>Tabelka 2</t>
  </si>
  <si>
    <t>szereg punktowy</t>
  </si>
  <si>
    <t>Wynagrodzenie brutto w marcu 2017 roku</t>
  </si>
  <si>
    <t>Liczba osób, które oddały Honorowo Krew w III kwartale 2018 roku</t>
  </si>
  <si>
    <r>
      <t xml:space="preserve">       korzystając z wzoru, że</t>
    </r>
    <r>
      <rPr>
        <b/>
        <sz val="11"/>
        <rFont val="Arial CE"/>
        <family val="2"/>
        <charset val="238"/>
      </rPr>
      <t xml:space="preserve"> BMI </t>
    </r>
    <r>
      <rPr>
        <b/>
        <sz val="11"/>
        <rFont val="Arial CE"/>
        <charset val="238"/>
      </rPr>
      <t>= masa ciała podzielna przez wzrost do kwadratu</t>
    </r>
    <r>
      <rPr>
        <sz val="11"/>
        <rFont val="Arial CE"/>
        <family val="2"/>
        <charset val="238"/>
      </rPr>
      <t>.</t>
    </r>
  </si>
  <si>
    <t>Cholesterol (mg  na 100 ml krwi)</t>
  </si>
  <si>
    <t>A</t>
  </si>
  <si>
    <t>B</t>
  </si>
  <si>
    <t>waga</t>
  </si>
  <si>
    <t>3)   * dla każdego wyniku BMI wpisz zgodnie z tabelką komentarz (niedowaga, prawidłowa, nadwaga, otyłość)</t>
  </si>
  <si>
    <t>Studenci  pisali kolokwium i uzyskali następujące wyniki (max. 10p.):</t>
  </si>
  <si>
    <t>liczba</t>
  </si>
  <si>
    <r>
      <t xml:space="preserve">2)    jeśli pacjent ma wskaźnik BMI co najniej 30 w polu </t>
    </r>
    <r>
      <rPr>
        <b/>
        <sz val="11"/>
        <rFont val="Arial CE"/>
        <family val="2"/>
        <charset val="238"/>
      </rPr>
      <t>Uwaga!</t>
    </r>
    <r>
      <rPr>
        <sz val="11"/>
        <rFont val="Arial CE"/>
        <family val="2"/>
        <charset val="238"/>
      </rPr>
      <t xml:space="preserve"> Wpisz informację dla pielęgniarki </t>
    </r>
  </si>
  <si>
    <r>
      <t xml:space="preserve">       </t>
    </r>
    <r>
      <rPr>
        <b/>
        <sz val="11"/>
        <rFont val="Arial CE"/>
        <family val="2"/>
        <charset val="238"/>
      </rPr>
      <t>wypisać skierowanie</t>
    </r>
    <r>
      <rPr>
        <sz val="11"/>
        <rFont val="Arial CE"/>
        <family val="2"/>
        <charset val="238"/>
      </rPr>
      <t xml:space="preserve"> do Poradni Poradni Leczenia Otyłości.</t>
    </r>
  </si>
  <si>
    <t xml:space="preserve">Do arkusza wkradł się chochlik i odwrócił polecenia. Tak sformatuj pole z poleceniami, aby móc normalnie je przeczytać.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</si>
</sst>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zł&quot;_-;\-* #,##0.00\ &quot;zł&quot;_-;_-* &quot;-&quot;??\ &quot;zł&quot;_-;_-@_-"/>
    <numFmt numFmtId="43" formatCode="_-* #,##0.00\ _z_ł_-;\-* #,##0.00\ _z_ł_-;_-* &quot;-&quot;??\ _z_ł_-;_-@_-"/>
    <numFmt numFmtId="164" formatCode="0.0"/>
    <numFmt numFmtId="165" formatCode="0.000"/>
  </numFmts>
  <fonts count="48" x14ac:knownFonts="1">
    <font>
      <sz val="10"/>
      <name val="Arial CE"/>
      <charset val="238"/>
    </font>
    <font>
      <sz val="10"/>
      <name val="Arial CE"/>
      <charset val="238"/>
    </font>
    <font>
      <b/>
      <sz val="10"/>
      <name val="Arial CE"/>
    </font>
    <font>
      <sz val="8"/>
      <color indexed="81"/>
      <name val="Tahoma"/>
      <family val="2"/>
      <charset val="238"/>
    </font>
    <font>
      <b/>
      <sz val="10"/>
      <name val="Arial CE"/>
      <charset val="238"/>
    </font>
    <font>
      <b/>
      <sz val="10"/>
      <color indexed="9"/>
      <name val="Arial CE"/>
      <family val="2"/>
      <charset val="238"/>
    </font>
    <font>
      <b/>
      <sz val="11"/>
      <name val="Arial CE"/>
      <family val="2"/>
      <charset val="238"/>
    </font>
    <font>
      <b/>
      <sz val="10"/>
      <name val="Arial CE"/>
      <family val="2"/>
      <charset val="238"/>
    </font>
    <font>
      <sz val="12"/>
      <name val="Arial CE"/>
      <family val="2"/>
      <charset val="238"/>
    </font>
    <font>
      <b/>
      <sz val="8"/>
      <color indexed="9"/>
      <name val="Arial CE"/>
      <family val="2"/>
      <charset val="238"/>
    </font>
    <font>
      <sz val="8"/>
      <name val="Arial CE"/>
      <family val="2"/>
      <charset val="238"/>
    </font>
    <font>
      <b/>
      <sz val="8"/>
      <name val="Arial CE"/>
      <family val="2"/>
      <charset val="238"/>
    </font>
    <font>
      <b/>
      <i/>
      <sz val="10"/>
      <name val="Arial CE"/>
      <family val="2"/>
      <charset val="238"/>
    </font>
    <font>
      <b/>
      <i/>
      <sz val="10"/>
      <name val="Arial CE"/>
      <charset val="238"/>
    </font>
    <font>
      <b/>
      <sz val="8"/>
      <color indexed="81"/>
      <name val="Tahoma"/>
      <family val="2"/>
      <charset val="238"/>
    </font>
    <font>
      <b/>
      <sz val="12"/>
      <name val="Arial CE"/>
      <charset val="238"/>
    </font>
    <font>
      <sz val="11"/>
      <name val="Arial CE"/>
      <family val="2"/>
      <charset val="238"/>
    </font>
    <font>
      <b/>
      <sz val="12"/>
      <name val="Arial CE"/>
      <family val="2"/>
      <charset val="238"/>
    </font>
    <font>
      <b/>
      <sz val="7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b/>
      <sz val="14"/>
      <name val="Arial CE"/>
      <family val="2"/>
      <charset val="238"/>
    </font>
    <font>
      <sz val="16"/>
      <name val="Arial CE"/>
      <family val="2"/>
      <charset val="238"/>
    </font>
    <font>
      <sz val="11"/>
      <name val="Symbol"/>
      <family val="1"/>
      <charset val="2"/>
    </font>
    <font>
      <sz val="11"/>
      <name val="Arial"/>
      <family val="2"/>
    </font>
    <font>
      <b/>
      <sz val="11"/>
      <name val="Times New Roman"/>
      <family val="1"/>
    </font>
    <font>
      <b/>
      <sz val="11"/>
      <name val="Arial"/>
      <family val="2"/>
    </font>
    <font>
      <b/>
      <sz val="16"/>
      <name val="Arial CE"/>
      <family val="2"/>
      <charset val="238"/>
    </font>
    <font>
      <b/>
      <sz val="10"/>
      <color indexed="10"/>
      <name val="Arial CE"/>
      <family val="2"/>
      <charset val="238"/>
    </font>
    <font>
      <b/>
      <sz val="12"/>
      <color indexed="10"/>
      <name val="Arial CE"/>
      <family val="2"/>
      <charset val="238"/>
    </font>
    <font>
      <b/>
      <sz val="22"/>
      <name val="Arial CE"/>
      <charset val="238"/>
    </font>
    <font>
      <sz val="12"/>
      <name val="Arial"/>
      <family val="2"/>
      <charset val="238"/>
    </font>
    <font>
      <b/>
      <sz val="11"/>
      <name val="Arial CE"/>
      <charset val="238"/>
    </font>
    <font>
      <sz val="11"/>
      <name val="Arial CE"/>
      <charset val="238"/>
    </font>
    <font>
      <b/>
      <sz val="8"/>
      <name val="Arial CE"/>
      <charset val="238"/>
    </font>
    <font>
      <sz val="10"/>
      <color rgb="FFFF0000"/>
      <name val="Arial CE"/>
      <charset val="238"/>
    </font>
    <font>
      <b/>
      <sz val="14"/>
      <name val="Arial CE"/>
      <charset val="238"/>
    </font>
    <font>
      <b/>
      <sz val="14"/>
      <color rgb="FFFF6600"/>
      <name val="Arial CE"/>
      <charset val="238"/>
    </font>
    <font>
      <b/>
      <sz val="16"/>
      <name val="Arial CE"/>
      <charset val="238"/>
    </font>
    <font>
      <b/>
      <sz val="11"/>
      <color rgb="FFFF0000"/>
      <name val="Times New Roman"/>
      <family val="1"/>
    </font>
    <font>
      <b/>
      <sz val="11"/>
      <color theme="8" tint="-0.249977111117893"/>
      <name val="Times New Roman"/>
      <family val="1"/>
    </font>
    <font>
      <b/>
      <sz val="10"/>
      <name val="Times New Roman"/>
      <family val="1"/>
      <charset val="238"/>
    </font>
    <font>
      <sz val="10"/>
      <name val="Times New Roman"/>
      <family val="1"/>
      <charset val="238"/>
    </font>
    <font>
      <b/>
      <sz val="12"/>
      <name val="Times New Roman"/>
      <family val="1"/>
      <charset val="238"/>
    </font>
    <font>
      <sz val="12"/>
      <name val="Times New Roman"/>
      <family val="1"/>
      <charset val="238"/>
    </font>
    <font>
      <sz val="9"/>
      <name val="Arial CE"/>
      <charset val="238"/>
    </font>
    <font>
      <sz val="14"/>
      <name val="Arial CE"/>
      <charset val="238"/>
    </font>
    <font>
      <b/>
      <sz val="12"/>
      <color rgb="FFFF0000"/>
      <name val="Arial CE"/>
      <charset val="238"/>
    </font>
  </fonts>
  <fills count="1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8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darkTrellis">
        <bgColor indexed="43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3" tint="-0.24994659260841701"/>
      </left>
      <right/>
      <top style="thin">
        <color theme="3" tint="-0.24994659260841701"/>
      </top>
      <bottom/>
      <diagonal/>
    </border>
    <border>
      <left/>
      <right/>
      <top style="thin">
        <color theme="3" tint="-0.24994659260841701"/>
      </top>
      <bottom/>
      <diagonal/>
    </border>
    <border>
      <left/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/>
      <bottom/>
      <diagonal/>
    </border>
    <border>
      <left/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/>
      <bottom style="thin">
        <color theme="3" tint="-0.24994659260841701"/>
      </bottom>
      <diagonal/>
    </border>
    <border>
      <left/>
      <right/>
      <top/>
      <bottom style="thin">
        <color theme="3" tint="-0.24994659260841701"/>
      </bottom>
      <diagonal/>
    </border>
    <border>
      <left/>
      <right style="thin">
        <color theme="3" tint="-0.24994659260841701"/>
      </right>
      <top/>
      <bottom style="thin">
        <color theme="3" tint="-0.2499465926084170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75">
    <xf numFmtId="0" fontId="0" fillId="0" borderId="0" xfId="0"/>
    <xf numFmtId="0" fontId="5" fillId="2" borderId="0" xfId="0" applyFont="1" applyFill="1"/>
    <xf numFmtId="0" fontId="0" fillId="2" borderId="0" xfId="0" applyFill="1"/>
    <xf numFmtId="0" fontId="6" fillId="2" borderId="0" xfId="0" applyFont="1" applyFill="1"/>
    <xf numFmtId="0" fontId="0" fillId="3" borderId="1" xfId="0" applyFill="1" applyBorder="1" applyAlignment="1">
      <alignment horizontal="center"/>
    </xf>
    <xf numFmtId="0" fontId="6" fillId="3" borderId="1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6" fillId="3" borderId="1" xfId="0" applyFont="1" applyFill="1" applyBorder="1"/>
    <xf numFmtId="0" fontId="6" fillId="0" borderId="1" xfId="0" applyFont="1" applyBorder="1" applyAlignment="1">
      <alignment horizontal="center"/>
    </xf>
    <xf numFmtId="44" fontId="6" fillId="0" borderId="1" xfId="1" applyFont="1" applyBorder="1"/>
    <xf numFmtId="0" fontId="0" fillId="0" borderId="0" xfId="0" applyAlignment="1">
      <alignment vertical="center"/>
    </xf>
    <xf numFmtId="0" fontId="8" fillId="0" borderId="0" xfId="0" applyFont="1"/>
    <xf numFmtId="0" fontId="9" fillId="4" borderId="0" xfId="0" applyFont="1" applyFill="1" applyAlignment="1">
      <alignment wrapText="1"/>
    </xf>
    <xf numFmtId="0" fontId="10" fillId="0" borderId="0" xfId="0" applyFont="1"/>
    <xf numFmtId="14" fontId="10" fillId="5" borderId="0" xfId="0" applyNumberFormat="1" applyFont="1" applyFill="1" applyAlignment="1">
      <alignment horizontal="center" vertical="top" wrapText="1"/>
    </xf>
    <xf numFmtId="0" fontId="10" fillId="5" borderId="0" xfId="0" applyFont="1" applyFill="1" applyAlignment="1">
      <alignment horizontal="center" vertical="top" wrapText="1"/>
    </xf>
    <xf numFmtId="0" fontId="11" fillId="3" borderId="2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5" xfId="0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2" fillId="6" borderId="1" xfId="0" applyFont="1" applyFill="1" applyBorder="1" applyAlignment="1">
      <alignment horizontal="centerContinuous"/>
    </xf>
    <xf numFmtId="14" fontId="0" fillId="0" borderId="1" xfId="0" applyNumberFormat="1" applyBorder="1"/>
    <xf numFmtId="0" fontId="0" fillId="0" borderId="1" xfId="0" applyBorder="1" applyProtection="1">
      <protection locked="0"/>
    </xf>
    <xf numFmtId="0" fontId="7" fillId="6" borderId="1" xfId="0" applyFont="1" applyFill="1" applyBorder="1" applyAlignment="1">
      <alignment horizontal="center"/>
    </xf>
    <xf numFmtId="0" fontId="7" fillId="6" borderId="12" xfId="0" applyFont="1" applyFill="1" applyBorder="1" applyAlignment="1">
      <alignment horizontal="center"/>
    </xf>
    <xf numFmtId="0" fontId="0" fillId="0" borderId="1" xfId="0" applyBorder="1"/>
    <xf numFmtId="0" fontId="4" fillId="6" borderId="1" xfId="0" applyFont="1" applyFill="1" applyBorder="1"/>
    <xf numFmtId="164" fontId="7" fillId="6" borderId="1" xfId="0" applyNumberFormat="1" applyFont="1" applyFill="1" applyBorder="1" applyProtection="1">
      <protection locked="0"/>
    </xf>
    <xf numFmtId="0" fontId="7" fillId="6" borderId="1" xfId="0" applyFont="1" applyFill="1" applyBorder="1" applyProtection="1">
      <protection locked="0"/>
    </xf>
    <xf numFmtId="0" fontId="4" fillId="6" borderId="1" xfId="0" applyFont="1" applyFill="1" applyBorder="1" applyAlignment="1">
      <alignment wrapText="1"/>
    </xf>
    <xf numFmtId="0" fontId="15" fillId="0" borderId="0" xfId="0" applyFont="1"/>
    <xf numFmtId="0" fontId="16" fillId="0" borderId="0" xfId="0" applyFont="1"/>
    <xf numFmtId="0" fontId="7" fillId="2" borderId="13" xfId="0" applyFont="1" applyFill="1" applyBorder="1" applyAlignment="1">
      <alignment horizontal="left" vertical="center" wrapText="1"/>
    </xf>
    <xf numFmtId="0" fontId="7" fillId="2" borderId="13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7" fillId="2" borderId="15" xfId="0" applyFont="1" applyFill="1" applyBorder="1" applyAlignment="1">
      <alignment horizontal="center" vertical="center" wrapText="1"/>
    </xf>
    <xf numFmtId="0" fontId="17" fillId="7" borderId="1" xfId="0" applyFont="1" applyFill="1" applyBorder="1"/>
    <xf numFmtId="0" fontId="17" fillId="7" borderId="1" xfId="0" applyFont="1" applyFill="1" applyBorder="1" applyAlignment="1">
      <alignment horizontal="left"/>
    </xf>
    <xf numFmtId="0" fontId="0" fillId="0" borderId="16" xfId="0" applyBorder="1"/>
    <xf numFmtId="0" fontId="0" fillId="0" borderId="17" xfId="0" applyBorder="1" applyAlignment="1">
      <alignment horizontal="center"/>
    </xf>
    <xf numFmtId="0" fontId="0" fillId="0" borderId="11" xfId="0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8" fillId="7" borderId="1" xfId="0" applyFont="1" applyFill="1" applyBorder="1"/>
    <xf numFmtId="0" fontId="8" fillId="7" borderId="1" xfId="0" applyFont="1" applyFill="1" applyBorder="1" applyAlignment="1">
      <alignment horizontal="left"/>
    </xf>
    <xf numFmtId="0" fontId="0" fillId="0" borderId="19" xfId="0" applyBorder="1"/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0" xfId="0" applyBorder="1"/>
    <xf numFmtId="0" fontId="0" fillId="0" borderId="2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2" xfId="0" applyBorder="1" applyAlignment="1">
      <alignment horizontal="center"/>
    </xf>
    <xf numFmtId="0" fontId="7" fillId="0" borderId="23" xfId="0" applyFont="1" applyBorder="1"/>
    <xf numFmtId="0" fontId="0" fillId="2" borderId="24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7" fillId="0" borderId="25" xfId="0" applyFont="1" applyBorder="1"/>
    <xf numFmtId="0" fontId="0" fillId="2" borderId="26" xfId="0" applyFill="1" applyBorder="1" applyAlignment="1">
      <alignment horizontal="center"/>
    </xf>
    <xf numFmtId="0" fontId="18" fillId="0" borderId="0" xfId="0" applyFont="1" applyAlignment="1">
      <alignment horizontal="left" indent="2"/>
    </xf>
    <xf numFmtId="0" fontId="19" fillId="0" borderId="0" xfId="0" applyFont="1" applyAlignment="1">
      <alignment horizontal="left" indent="2"/>
    </xf>
    <xf numFmtId="0" fontId="4" fillId="0" borderId="0" xfId="0" applyFont="1"/>
    <xf numFmtId="0" fontId="20" fillId="0" borderId="0" xfId="0" applyFont="1" applyAlignment="1">
      <alignment horizontal="left" indent="2"/>
    </xf>
    <xf numFmtId="0" fontId="20" fillId="0" borderId="0" xfId="0" applyFont="1" applyAlignment="1">
      <alignment horizontal="center"/>
    </xf>
    <xf numFmtId="0" fontId="0" fillId="9" borderId="27" xfId="0" applyFill="1" applyBorder="1"/>
    <xf numFmtId="0" fontId="19" fillId="0" borderId="0" xfId="0" applyFont="1"/>
    <xf numFmtId="0" fontId="0" fillId="3" borderId="1" xfId="0" applyFill="1" applyBorder="1"/>
    <xf numFmtId="0" fontId="0" fillId="10" borderId="8" xfId="0" applyFill="1" applyBorder="1"/>
    <xf numFmtId="0" fontId="0" fillId="10" borderId="10" xfId="0" applyFill="1" applyBorder="1"/>
    <xf numFmtId="0" fontId="7" fillId="0" borderId="0" xfId="0" applyFont="1" applyAlignment="1">
      <alignment horizontal="right"/>
    </xf>
    <xf numFmtId="0" fontId="0" fillId="10" borderId="6" xfId="0" applyFill="1" applyBorder="1"/>
    <xf numFmtId="0" fontId="0" fillId="10" borderId="27" xfId="0" applyFill="1" applyBorder="1"/>
    <xf numFmtId="0" fontId="21" fillId="0" borderId="0" xfId="0" applyFont="1"/>
    <xf numFmtId="0" fontId="22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25" fillId="0" borderId="0" xfId="0" applyFont="1" applyAlignment="1">
      <alignment horizontal="center" wrapText="1"/>
    </xf>
    <xf numFmtId="0" fontId="27" fillId="0" borderId="0" xfId="0" applyFont="1"/>
    <xf numFmtId="0" fontId="0" fillId="0" borderId="29" xfId="0" applyBorder="1"/>
    <xf numFmtId="0" fontId="0" fillId="0" borderId="30" xfId="0" applyBorder="1"/>
    <xf numFmtId="0" fontId="0" fillId="0" borderId="15" xfId="0" applyBorder="1"/>
    <xf numFmtId="9" fontId="0" fillId="0" borderId="15" xfId="0" applyNumberFormat="1" applyBorder="1"/>
    <xf numFmtId="0" fontId="28" fillId="0" borderId="0" xfId="0" applyFont="1"/>
    <xf numFmtId="0" fontId="29" fillId="0" borderId="0" xfId="0" applyFont="1"/>
    <xf numFmtId="0" fontId="30" fillId="0" borderId="0" xfId="0" applyFont="1"/>
    <xf numFmtId="0" fontId="31" fillId="12" borderId="33" xfId="0" applyFont="1" applyFill="1" applyBorder="1" applyAlignment="1">
      <alignment vertical="center"/>
    </xf>
    <xf numFmtId="0" fontId="0" fillId="13" borderId="33" xfId="0" applyFill="1" applyBorder="1"/>
    <xf numFmtId="0" fontId="32" fillId="0" borderId="0" xfId="0" applyFont="1" applyAlignment="1">
      <alignment horizontal="right"/>
    </xf>
    <xf numFmtId="0" fontId="33" fillId="0" borderId="0" xfId="0" applyFont="1"/>
    <xf numFmtId="0" fontId="0" fillId="0" borderId="0" xfId="0" applyNumberFormat="1"/>
    <xf numFmtId="0" fontId="10" fillId="14" borderId="33" xfId="0" applyFont="1" applyFill="1" applyBorder="1"/>
    <xf numFmtId="0" fontId="34" fillId="0" borderId="0" xfId="0" applyFont="1"/>
    <xf numFmtId="0" fontId="8" fillId="0" borderId="27" xfId="0" applyFont="1" applyBorder="1"/>
    <xf numFmtId="0" fontId="0" fillId="11" borderId="27" xfId="0" applyFill="1" applyBorder="1"/>
    <xf numFmtId="0" fontId="35" fillId="0" borderId="0" xfId="0" applyFont="1"/>
    <xf numFmtId="0" fontId="4" fillId="0" borderId="0" xfId="0" applyFont="1" applyAlignment="1">
      <alignment horizontal="center"/>
    </xf>
    <xf numFmtId="0" fontId="4" fillId="0" borderId="34" xfId="0" applyFont="1" applyBorder="1" applyAlignment="1">
      <alignment horizontal="center"/>
    </xf>
    <xf numFmtId="0" fontId="0" fillId="0" borderId="34" xfId="0" applyBorder="1"/>
    <xf numFmtId="0" fontId="4" fillId="0" borderId="0" xfId="0" applyFont="1" applyFill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0" fillId="0" borderId="36" xfId="0" applyBorder="1"/>
    <xf numFmtId="0" fontId="0" fillId="0" borderId="35" xfId="0" applyBorder="1" applyAlignment="1">
      <alignment horizontal="center"/>
    </xf>
    <xf numFmtId="0" fontId="36" fillId="0" borderId="0" xfId="0" applyFont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0" xfId="0" applyNumberFormat="1"/>
    <xf numFmtId="44" fontId="6" fillId="0" borderId="38" xfId="1" applyFont="1" applyFill="1" applyBorder="1"/>
    <xf numFmtId="0" fontId="33" fillId="2" borderId="0" xfId="0" applyFont="1" applyFill="1"/>
    <xf numFmtId="0" fontId="32" fillId="2" borderId="0" xfId="0" applyFont="1" applyFill="1"/>
    <xf numFmtId="0" fontId="0" fillId="0" borderId="35" xfId="0" applyBorder="1"/>
    <xf numFmtId="1" fontId="0" fillId="0" borderId="35" xfId="0" applyNumberFormat="1" applyBorder="1" applyAlignment="1">
      <alignment horizontal="left"/>
    </xf>
    <xf numFmtId="1" fontId="2" fillId="14" borderId="35" xfId="0" applyNumberFormat="1" applyFont="1" applyFill="1" applyBorder="1" applyAlignment="1">
      <alignment horizontal="left"/>
    </xf>
    <xf numFmtId="0" fontId="2" fillId="14" borderId="35" xfId="0" applyFont="1" applyFill="1" applyBorder="1" applyAlignment="1">
      <alignment horizontal="center"/>
    </xf>
    <xf numFmtId="0" fontId="0" fillId="14" borderId="35" xfId="0" applyFill="1" applyBorder="1"/>
    <xf numFmtId="0" fontId="0" fillId="15" borderId="0" xfId="0" applyFill="1" applyAlignment="1">
      <alignment horizontal="center"/>
    </xf>
    <xf numFmtId="0" fontId="38" fillId="0" borderId="0" xfId="0" applyFont="1" applyAlignment="1">
      <alignment horizontal="right"/>
    </xf>
    <xf numFmtId="0" fontId="0" fillId="2" borderId="28" xfId="0" applyFill="1" applyBorder="1" applyAlignment="1">
      <alignment horizontal="center"/>
    </xf>
    <xf numFmtId="0" fontId="39" fillId="0" borderId="0" xfId="0" applyFont="1"/>
    <xf numFmtId="0" fontId="40" fillId="0" borderId="0" xfId="0" applyFont="1"/>
    <xf numFmtId="0" fontId="17" fillId="0" borderId="28" xfId="0" applyFont="1" applyBorder="1"/>
    <xf numFmtId="0" fontId="17" fillId="0" borderId="28" xfId="0" applyFont="1" applyBorder="1" applyAlignment="1">
      <alignment wrapText="1"/>
    </xf>
    <xf numFmtId="0" fontId="0" fillId="3" borderId="35" xfId="0" applyFill="1" applyBorder="1"/>
    <xf numFmtId="0" fontId="7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41" fillId="0" borderId="0" xfId="0" applyFont="1"/>
    <xf numFmtId="0" fontId="42" fillId="0" borderId="0" xfId="0" applyFont="1"/>
    <xf numFmtId="0" fontId="43" fillId="0" borderId="0" xfId="0" applyFont="1"/>
    <xf numFmtId="0" fontId="10" fillId="0" borderId="1" xfId="0" applyFont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13" fillId="6" borderId="1" xfId="0" applyFont="1" applyFill="1" applyBorder="1" applyAlignment="1">
      <alignment horizontal="center"/>
    </xf>
    <xf numFmtId="0" fontId="0" fillId="16" borderId="0" xfId="0" applyFill="1"/>
    <xf numFmtId="0" fontId="35" fillId="16" borderId="0" xfId="0" applyFont="1" applyFill="1"/>
    <xf numFmtId="0" fontId="0" fillId="17" borderId="34" xfId="0" applyFill="1" applyBorder="1" applyAlignment="1">
      <alignment horizontal="center"/>
    </xf>
    <xf numFmtId="0" fontId="4" fillId="0" borderId="0" xfId="0" applyFont="1" applyAlignment="1">
      <alignment horizontal="center"/>
    </xf>
    <xf numFmtId="0" fontId="47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45" fillId="0" borderId="39" xfId="0" applyFont="1" applyBorder="1" applyAlignment="1"/>
    <xf numFmtId="0" fontId="0" fillId="0" borderId="39" xfId="0" applyBorder="1" applyAlignment="1"/>
    <xf numFmtId="0" fontId="20" fillId="0" borderId="40" xfId="0" applyFont="1" applyBorder="1" applyAlignment="1">
      <alignment horizontal="center"/>
    </xf>
    <xf numFmtId="0" fontId="20" fillId="0" borderId="41" xfId="0" applyFont="1" applyBorder="1" applyAlignment="1">
      <alignment horizontal="center"/>
    </xf>
    <xf numFmtId="0" fontId="20" fillId="0" borderId="42" xfId="0" applyFont="1" applyBorder="1" applyAlignment="1">
      <alignment horizontal="center"/>
    </xf>
    <xf numFmtId="0" fontId="20" fillId="0" borderId="43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0" fillId="0" borderId="44" xfId="0" applyFont="1" applyBorder="1" applyAlignment="1">
      <alignment horizontal="center"/>
    </xf>
    <xf numFmtId="0" fontId="20" fillId="0" borderId="45" xfId="0" applyFont="1" applyBorder="1" applyAlignment="1">
      <alignment horizontal="center"/>
    </xf>
    <xf numFmtId="0" fontId="20" fillId="0" borderId="46" xfId="0" applyFont="1" applyBorder="1" applyAlignment="1">
      <alignment horizontal="center"/>
    </xf>
    <xf numFmtId="0" fontId="20" fillId="0" borderId="47" xfId="0" applyFont="1" applyBorder="1" applyAlignment="1">
      <alignment horizontal="center"/>
    </xf>
    <xf numFmtId="0" fontId="15" fillId="0" borderId="39" xfId="0" applyFont="1" applyBorder="1" applyAlignment="1">
      <alignment horizontal="center"/>
    </xf>
    <xf numFmtId="0" fontId="9" fillId="4" borderId="0" xfId="0" applyFont="1" applyFill="1" applyAlignment="1">
      <alignment horizontal="center" wrapText="1"/>
    </xf>
    <xf numFmtId="0" fontId="11" fillId="9" borderId="31" xfId="0" applyFont="1" applyFill="1" applyBorder="1" applyAlignment="1">
      <alignment horizontal="center"/>
    </xf>
    <xf numFmtId="0" fontId="11" fillId="9" borderId="32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2" fillId="0" borderId="37" xfId="0" applyFont="1" applyBorder="1" applyAlignment="1">
      <alignment horizontal="center" vertical="center" textRotation="90" wrapText="1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2" fillId="0" borderId="36" xfId="0" applyFont="1" applyBorder="1" applyAlignment="1">
      <alignment horizontal="center" vertical="center" textRotation="90"/>
    </xf>
    <xf numFmtId="0" fontId="33" fillId="0" borderId="36" xfId="0" applyFont="1" applyBorder="1" applyAlignment="1">
      <alignment horizontal="center" vertical="center" textRotation="90"/>
    </xf>
    <xf numFmtId="0" fontId="32" fillId="0" borderId="36" xfId="0" applyFont="1" applyBorder="1" applyAlignment="1">
      <alignment horizontal="center" textRotation="90"/>
    </xf>
    <xf numFmtId="0" fontId="33" fillId="0" borderId="36" xfId="0" applyFont="1" applyBorder="1" applyAlignment="1">
      <alignment horizontal="center" textRotation="90"/>
    </xf>
    <xf numFmtId="0" fontId="4" fillId="6" borderId="6" xfId="0" applyFont="1" applyFill="1" applyBorder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7" fillId="6" borderId="11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32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46" fillId="0" borderId="0" xfId="0" applyFont="1" applyAlignment="1">
      <alignment horizontal="center" vertical="center"/>
    </xf>
  </cellXfs>
  <cellStyles count="4">
    <cellStyle name="Dziesiętny 2" xfId="2"/>
    <cellStyle name="Normalny" xfId="0" builtinId="0"/>
    <cellStyle name="Walutowy" xfId="1" builtinId="4"/>
    <cellStyle name="Walutowy 2" xfId="3"/>
  </cellStyles>
  <dxfs count="0"/>
  <tableStyles count="0" defaultTableStyle="TableStyleMedium2" defaultPivotStyle="PivotStyleLight16"/>
  <colors>
    <mruColors>
      <color rgb="FFFF6600"/>
      <color rgb="FFDFE2DA"/>
      <color rgb="FFBDDEFF"/>
      <color rgb="FFFFFFCC"/>
      <color rgb="FFCCFFCC"/>
      <color rgb="FFFF9933"/>
      <color rgb="FFFFCCFF"/>
      <color rgb="FFFF9966"/>
      <color rgb="FFCC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27</xdr:row>
      <xdr:rowOff>19049</xdr:rowOff>
    </xdr:from>
    <xdr:to>
      <xdr:col>4</xdr:col>
      <xdr:colOff>228600</xdr:colOff>
      <xdr:row>31</xdr:row>
      <xdr:rowOff>342899</xdr:rowOff>
    </xdr:to>
    <xdr:sp macro="" textlink="">
      <xdr:nvSpPr>
        <xdr:cNvPr id="2" name="pole tekstowe 1">
          <a:extLst>
            <a:ext uri="{FF2B5EF4-FFF2-40B4-BE49-F238E27FC236}">
              <a16:creationId xmlns:a16="http://schemas.microsoft.com/office/drawing/2014/main" xmlns="" id="{1214780E-9428-4EE2-ADEA-E9E0E6BF4D91}"/>
            </a:ext>
          </a:extLst>
        </xdr:cNvPr>
        <xdr:cNvSpPr txBox="1"/>
      </xdr:nvSpPr>
      <xdr:spPr>
        <a:xfrm>
          <a:off x="1476375" y="5714999"/>
          <a:ext cx="1762125" cy="1323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 b="1">
              <a:solidFill>
                <a:srgbClr val="FF0000"/>
              </a:solidFill>
            </a:rPr>
            <a:t>uwaga! </a:t>
          </a:r>
          <a:r>
            <a:rPr lang="pl-PL" sz="1100" b="1"/>
            <a:t>nie sumuj  </a:t>
          </a:r>
          <a:r>
            <a:rPr lang="pl-PL" sz="1100"/>
            <a:t>liczb otrzymanych w powyższych zestawieniach, </a:t>
          </a:r>
          <a:r>
            <a:rPr lang="pl-PL" sz="1100" b="1"/>
            <a:t>nie zaznaczaj</a:t>
          </a:r>
          <a:r>
            <a:rPr lang="pl-PL" sz="1100"/>
            <a:t> za</a:t>
          </a:r>
          <a:r>
            <a:rPr lang="pl-PL" sz="1100" baseline="0"/>
            <a:t> jednym pociągnięciem myszki danych 1, 2 i 3 (postawiony jest mur), </a:t>
          </a:r>
          <a:r>
            <a:rPr lang="pl-PL" sz="1100"/>
            <a:t>użyj klawisza </a:t>
          </a:r>
          <a:r>
            <a:rPr lang="pl-PL" sz="1100" b="1"/>
            <a:t>CTRL</a:t>
          </a:r>
        </a:p>
      </xdr:txBody>
    </xdr:sp>
    <xdr:clientData/>
  </xdr:twoCellAnchor>
  <xdr:twoCellAnchor>
    <xdr:from>
      <xdr:col>11</xdr:col>
      <xdr:colOff>400051</xdr:colOff>
      <xdr:row>14</xdr:row>
      <xdr:rowOff>19050</xdr:rowOff>
    </xdr:from>
    <xdr:to>
      <xdr:col>19</xdr:col>
      <xdr:colOff>1</xdr:colOff>
      <xdr:row>29</xdr:row>
      <xdr:rowOff>152400</xdr:rowOff>
    </xdr:to>
    <xdr:grpSp>
      <xdr:nvGrpSpPr>
        <xdr:cNvPr id="10" name="Grupa 9">
          <a:extLst>
            <a:ext uri="{FF2B5EF4-FFF2-40B4-BE49-F238E27FC236}">
              <a16:creationId xmlns:a16="http://schemas.microsoft.com/office/drawing/2014/main" xmlns="" id="{20960921-61CB-4993-B9DE-640A300060A8}"/>
            </a:ext>
          </a:extLst>
        </xdr:cNvPr>
        <xdr:cNvGrpSpPr/>
      </xdr:nvGrpSpPr>
      <xdr:grpSpPr>
        <a:xfrm>
          <a:off x="8347711" y="2617470"/>
          <a:ext cx="4476750" cy="3585210"/>
          <a:chOff x="8048626" y="2771775"/>
          <a:chExt cx="4476750" cy="3609975"/>
        </a:xfrm>
      </xdr:grpSpPr>
      <xdr:sp macro="" textlink="">
        <xdr:nvSpPr>
          <xdr:cNvPr id="3" name="pole tekstowe 2">
            <a:extLst>
              <a:ext uri="{FF2B5EF4-FFF2-40B4-BE49-F238E27FC236}">
                <a16:creationId xmlns:a16="http://schemas.microsoft.com/office/drawing/2014/main" xmlns="" id="{0DE53E50-E5FF-419F-A766-C2BB597D4550}"/>
              </a:ext>
            </a:extLst>
          </xdr:cNvPr>
          <xdr:cNvSpPr txBox="1"/>
        </xdr:nvSpPr>
        <xdr:spPr>
          <a:xfrm>
            <a:off x="8048626" y="2771775"/>
            <a:ext cx="4476750" cy="36099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l-PL" sz="1600" b="1">
                <a:solidFill>
                  <a:sysClr val="windowText" lastClr="000000"/>
                </a:solidFill>
              </a:rPr>
              <a:t>Formuły</a:t>
            </a:r>
          </a:p>
          <a:p>
            <a:r>
              <a:rPr lang="pl-PL" sz="1600" b="1">
                <a:solidFill>
                  <a:schemeClr val="accent6">
                    <a:lumMod val="75000"/>
                  </a:schemeClr>
                </a:solidFill>
              </a:rPr>
              <a:t>funkcje statystyczne </a:t>
            </a:r>
            <a:r>
              <a:rPr lang="pl-PL" sz="1600" b="0">
                <a:solidFill>
                  <a:sysClr val="windowText" lastClr="000000"/>
                </a:solidFill>
              </a:rPr>
              <a:t>(opcja </a:t>
            </a:r>
            <a:r>
              <a:rPr lang="pl-PL" sz="1600" b="1">
                <a:solidFill>
                  <a:sysClr val="windowText" lastClr="000000"/>
                </a:solidFill>
              </a:rPr>
              <a:t>wiecej funkcji</a:t>
            </a:r>
            <a:r>
              <a:rPr lang="pl-PL" sz="1600" b="0">
                <a:solidFill>
                  <a:sysClr val="windowText" lastClr="000000"/>
                </a:solidFill>
              </a:rPr>
              <a:t>):</a:t>
            </a:r>
          </a:p>
          <a:p>
            <a:r>
              <a:rPr lang="pl-PL" sz="1100" b="1"/>
              <a:t>Średnia()</a:t>
            </a:r>
          </a:p>
          <a:p>
            <a:r>
              <a:rPr lang="pl-PL" sz="1100" b="1"/>
              <a:t>ile.liczb() </a:t>
            </a:r>
            <a:r>
              <a:rPr lang="pl-PL" sz="1100"/>
              <a:t>kryje</a:t>
            </a:r>
            <a:r>
              <a:rPr lang="pl-PL" sz="1100" baseline="0"/>
              <a:t> sie tez pod nazwą </a:t>
            </a:r>
            <a:r>
              <a:rPr lang="pl-PL" sz="1100" b="1" baseline="0"/>
              <a:t>zliczanie()</a:t>
            </a:r>
          </a:p>
          <a:p>
            <a:r>
              <a:rPr lang="pl-PL" sz="1100" b="1"/>
              <a:t>Max() </a:t>
            </a:r>
            <a:r>
              <a:rPr lang="pl-PL" sz="1100" b="0"/>
              <a:t>lub </a:t>
            </a:r>
            <a:r>
              <a:rPr lang="pl-PL" sz="1100" b="1"/>
              <a:t>Maksimum()</a:t>
            </a:r>
          </a:p>
          <a:p>
            <a:r>
              <a:rPr lang="pl-PL" sz="1100" b="1"/>
              <a:t>Min() </a:t>
            </a:r>
            <a:r>
              <a:rPr lang="pl-PL" sz="1100" b="0"/>
              <a:t>lub </a:t>
            </a:r>
            <a:r>
              <a:rPr lang="pl-PL" sz="1100" b="1"/>
              <a:t>Minimum()</a:t>
            </a:r>
          </a:p>
          <a:p>
            <a:r>
              <a:rPr lang="pl-PL" sz="1100" b="1"/>
              <a:t>Mediana()</a:t>
            </a:r>
          </a:p>
          <a:p>
            <a:r>
              <a:rPr lang="pl-PL" sz="1100" b="1"/>
              <a:t>Wyst.Najczęściej. Tabl()</a:t>
            </a:r>
            <a:r>
              <a:rPr lang="pl-PL" sz="1100" b="1" baseline="0"/>
              <a:t> </a:t>
            </a:r>
          </a:p>
          <a:p>
            <a:r>
              <a:rPr lang="pl-PL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Wyst.Najczęściej. Wart()</a:t>
            </a:r>
            <a:r>
              <a:rPr lang="pl-PL" sz="1100" b="1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 lub Wyst.najczęściej() -      dominanta (modalna)</a:t>
            </a:r>
          </a:p>
          <a:p>
            <a:r>
              <a:rPr lang="pl-PL" sz="11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nie jest to dobra miara dla rozkładów 2 lub więcej modalnych</a:t>
            </a:r>
          </a:p>
          <a:p>
            <a:r>
              <a:rPr lang="pl-PL" sz="1100" b="1"/>
              <a:t>Ile.Niepustych()</a:t>
            </a:r>
          </a:p>
          <a:p>
            <a:r>
              <a:rPr lang="pl-PL" sz="1100" b="1"/>
              <a:t>Licz.Puste()</a:t>
            </a:r>
          </a:p>
          <a:p>
            <a:r>
              <a:rPr lang="pl-PL" sz="1600" b="1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funkcje matematyczne</a:t>
            </a:r>
          </a:p>
          <a:p>
            <a:r>
              <a:rPr lang="pl-PL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Suma()</a:t>
            </a:r>
          </a:p>
          <a:p>
            <a:endParaRPr lang="pl-PL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pl-PL" sz="1400" b="1">
                <a:solidFill>
                  <a:schemeClr val="accent6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Ikona</a:t>
            </a:r>
            <a:r>
              <a:rPr lang="pl-PL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	   </a:t>
            </a:r>
            <a:r>
              <a:rPr lang="pl-PL" sz="1100" b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zawiera</a:t>
            </a:r>
            <a:r>
              <a:rPr lang="pl-PL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5</a:t>
            </a:r>
            <a:r>
              <a:rPr lang="pl-PL" sz="1100" b="1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najczęściej stosowanych funkcji: </a:t>
            </a:r>
            <a:r>
              <a:rPr lang="pl-PL" sz="11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Suma,    </a:t>
            </a:r>
          </a:p>
          <a:p>
            <a:r>
              <a:rPr lang="pl-PL" sz="11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                               Średnia, Zliczanie, Maksimum, Minimum</a:t>
            </a:r>
            <a:endParaRPr lang="pl-P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" name="Nawias klamrowy zamykający 3">
            <a:extLst>
              <a:ext uri="{FF2B5EF4-FFF2-40B4-BE49-F238E27FC236}">
                <a16:creationId xmlns:a16="http://schemas.microsoft.com/office/drawing/2014/main" xmlns="" id="{CC407EF9-C6D5-45AB-BBC0-6C7734C5164F}"/>
              </a:ext>
            </a:extLst>
          </xdr:cNvPr>
          <xdr:cNvSpPr/>
        </xdr:nvSpPr>
        <xdr:spPr bwMode="auto">
          <a:xfrm>
            <a:off x="10955656" y="4038600"/>
            <a:ext cx="140969" cy="552450"/>
          </a:xfrm>
          <a:prstGeom prst="rightBrace">
            <a:avLst/>
          </a:prstGeom>
          <a:noFill/>
          <a:ln w="3175" cap="flat" cmpd="sng" algn="ctr">
            <a:solidFill>
              <a:srgbClr val="4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pl-PL" sz="1100"/>
          </a:p>
        </xdr:txBody>
      </xdr:sp>
      <xdr:pic>
        <xdr:nvPicPr>
          <xdr:cNvPr id="7" name="Obraz 6">
            <a:extLst>
              <a:ext uri="{FF2B5EF4-FFF2-40B4-BE49-F238E27FC236}">
                <a16:creationId xmlns:a16="http://schemas.microsoft.com/office/drawing/2014/main" xmlns="" id="{573F59C0-2FB9-4F97-8B45-2C111A5012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10600" y="5667376"/>
            <a:ext cx="466725" cy="422970"/>
          </a:xfrm>
          <a:prstGeom prst="rect">
            <a:avLst/>
          </a:prstGeom>
          <a:ln w="19050">
            <a:solidFill>
              <a:schemeClr val="tx1"/>
            </a:solidFill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140970</xdr:colOff>
      <xdr:row>3</xdr:row>
      <xdr:rowOff>146686</xdr:rowOff>
    </xdr:from>
    <xdr:to>
      <xdr:col>9</xdr:col>
      <xdr:colOff>400050</xdr:colOff>
      <xdr:row>9</xdr:row>
      <xdr:rowOff>28576</xdr:rowOff>
    </xdr:to>
    <xdr:sp macro="" textlink="">
      <xdr:nvSpPr>
        <xdr:cNvPr id="1026" name="Text Box 2">
          <a:extLst>
            <a:ext uri="{FF2B5EF4-FFF2-40B4-BE49-F238E27FC236}">
              <a16:creationId xmlns:a16="http://schemas.microsoft.com/office/drawing/2014/main" xmlns="" id="{00000000-0008-0000-0100-000002040000}"/>
            </a:ext>
          </a:extLst>
        </xdr:cNvPr>
        <xdr:cNvSpPr txBox="1">
          <a:spLocks noChangeArrowheads="1"/>
        </xdr:cNvSpPr>
      </xdr:nvSpPr>
      <xdr:spPr bwMode="auto">
        <a:xfrm>
          <a:off x="4370070" y="632461"/>
          <a:ext cx="3307080" cy="853440"/>
        </a:xfrm>
        <a:prstGeom prst="rect">
          <a:avLst/>
        </a:prstGeom>
        <a:solidFill>
          <a:srgbClr val="FFCC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l-PL" sz="10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1. </a:t>
          </a:r>
          <a:r>
            <a:rPr lang="pl-PL" sz="10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Wpisz formułę do komórki </a:t>
          </a:r>
          <a:r>
            <a:rPr lang="pl-PL" sz="10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D2 </a:t>
          </a:r>
          <a:r>
            <a:rPr lang="pl-PL" sz="10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wyliczającą wynik </a:t>
          </a:r>
        </a:p>
        <a:p>
          <a:pPr algn="l" rtl="0">
            <a:defRPr sz="1000"/>
          </a:pPr>
          <a:r>
            <a:rPr lang="pl-PL" sz="10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   egzaminu używając funkcji </a:t>
          </a:r>
          <a:r>
            <a:rPr lang="pl-PL" sz="10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jeżeli();</a:t>
          </a:r>
          <a:r>
            <a:rPr lang="pl-PL" sz="10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treść wpisu </a:t>
          </a:r>
        </a:p>
        <a:p>
          <a:pPr algn="l" rtl="0">
            <a:defRPr sz="1000"/>
          </a:pPr>
          <a:r>
            <a:rPr lang="pl-PL" sz="10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    zgodnie z komenatrzem w komórce </a:t>
          </a:r>
          <a:r>
            <a:rPr lang="pl-PL" sz="10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D1</a:t>
          </a:r>
          <a:r>
            <a:rPr lang="pl-PL" sz="10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.</a:t>
          </a:r>
        </a:p>
        <a:p>
          <a:pPr algn="l" rtl="0">
            <a:defRPr sz="1000"/>
          </a:pPr>
          <a:r>
            <a:rPr lang="pl-PL" sz="10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2. </a:t>
          </a:r>
          <a:r>
            <a:rPr lang="pl-PL" sz="10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W kolumnie </a:t>
          </a:r>
          <a:r>
            <a:rPr lang="pl-PL" sz="10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D</a:t>
          </a:r>
          <a:r>
            <a:rPr lang="pl-PL" sz="10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wylicz wyniki egzaminu dla pozostałych</a:t>
          </a:r>
        </a:p>
        <a:p>
          <a:pPr algn="l" rtl="0">
            <a:defRPr sz="1000"/>
          </a:pPr>
          <a:r>
            <a:rPr lang="pl-PL" sz="10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   osób kopiując powyższą formułę.</a:t>
          </a:r>
          <a:endParaRPr lang="pl-PL"/>
        </a:p>
      </xdr:txBody>
    </xdr:sp>
    <xdr:clientData/>
  </xdr:twoCellAnchor>
  <xdr:twoCellAnchor>
    <xdr:from>
      <xdr:col>4</xdr:col>
      <xdr:colOff>47625</xdr:colOff>
      <xdr:row>0</xdr:row>
      <xdr:rowOff>57151</xdr:rowOff>
    </xdr:from>
    <xdr:to>
      <xdr:col>5</xdr:col>
      <xdr:colOff>123825</xdr:colOff>
      <xdr:row>2</xdr:row>
      <xdr:rowOff>9525</xdr:rowOff>
    </xdr:to>
    <xdr:cxnSp macro="">
      <xdr:nvCxnSpPr>
        <xdr:cNvPr id="3" name="Łącznik prosty ze strzałką 2">
          <a:extLst>
            <a:ext uri="{FF2B5EF4-FFF2-40B4-BE49-F238E27FC236}">
              <a16:creationId xmlns:a16="http://schemas.microsoft.com/office/drawing/2014/main" xmlns="" id="{C2363130-E56A-49E5-9A86-212A52F9C2A9}"/>
            </a:ext>
          </a:extLst>
        </xdr:cNvPr>
        <xdr:cNvCxnSpPr/>
      </xdr:nvCxnSpPr>
      <xdr:spPr bwMode="auto">
        <a:xfrm flipH="1" flipV="1">
          <a:off x="4276725" y="57151"/>
          <a:ext cx="685800" cy="276224"/>
        </a:xfrm>
        <a:prstGeom prst="straightConnector1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triangl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161925</xdr:colOff>
      <xdr:row>1</xdr:row>
      <xdr:rowOff>57150</xdr:rowOff>
    </xdr:from>
    <xdr:to>
      <xdr:col>7</xdr:col>
      <xdr:colOff>285750</xdr:colOff>
      <xdr:row>3</xdr:row>
      <xdr:rowOff>9525</xdr:rowOff>
    </xdr:to>
    <xdr:sp macro="" textlink="">
      <xdr:nvSpPr>
        <xdr:cNvPr id="4" name="pole tekstowe 3">
          <a:extLst>
            <a:ext uri="{FF2B5EF4-FFF2-40B4-BE49-F238E27FC236}">
              <a16:creationId xmlns:a16="http://schemas.microsoft.com/office/drawing/2014/main" xmlns="" id="{0B18C722-7C95-4903-A38D-3A26DD72E9B3}"/>
            </a:ext>
          </a:extLst>
        </xdr:cNvPr>
        <xdr:cNvSpPr txBox="1"/>
      </xdr:nvSpPr>
      <xdr:spPr>
        <a:xfrm>
          <a:off x="5000625" y="219075"/>
          <a:ext cx="1343025" cy="276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komentarz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</xdr:colOff>
      <xdr:row>23</xdr:row>
      <xdr:rowOff>100965</xdr:rowOff>
    </xdr:from>
    <xdr:to>
      <xdr:col>5</xdr:col>
      <xdr:colOff>381000</xdr:colOff>
      <xdr:row>26</xdr:row>
      <xdr:rowOff>104775</xdr:rowOff>
    </xdr:to>
    <xdr:sp macro="" textlink="">
      <xdr:nvSpPr>
        <xdr:cNvPr id="2049" name="Text Box 1">
          <a:extLst>
            <a:ext uri="{FF2B5EF4-FFF2-40B4-BE49-F238E27FC236}">
              <a16:creationId xmlns:a16="http://schemas.microsoft.com/office/drawing/2014/main" xmlns="" id="{00000000-0008-0000-0200-000001080000}"/>
            </a:ext>
          </a:extLst>
        </xdr:cNvPr>
        <xdr:cNvSpPr txBox="1">
          <a:spLocks noChangeArrowheads="1"/>
        </xdr:cNvSpPr>
      </xdr:nvSpPr>
      <xdr:spPr bwMode="auto">
        <a:xfrm>
          <a:off x="110490" y="4634865"/>
          <a:ext cx="4499610" cy="489585"/>
        </a:xfrm>
        <a:prstGeom prst="rect">
          <a:avLst/>
        </a:pr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l-PL" sz="12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Zastosuj w kolumnie </a:t>
          </a:r>
          <a:r>
            <a:rPr lang="pl-PL" sz="12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C </a:t>
          </a:r>
          <a:r>
            <a:rPr lang="pl-PL" sz="12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funkcję</a:t>
          </a:r>
          <a:r>
            <a:rPr lang="pl-PL" sz="12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 jeżeli(),</a:t>
          </a:r>
          <a:r>
            <a:rPr lang="pl-PL" sz="12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w kolumnie </a:t>
          </a:r>
          <a:r>
            <a:rPr lang="pl-PL" sz="12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F </a:t>
          </a:r>
          <a:r>
            <a:rPr lang="pl-PL" sz="12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funcję </a:t>
          </a:r>
          <a:r>
            <a:rPr lang="pl-PL" sz="12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jeżeli() </a:t>
          </a:r>
          <a:r>
            <a:rPr lang="pl-PL" sz="12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i</a:t>
          </a:r>
          <a:r>
            <a:rPr lang="pl-PL" sz="12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 oraz</a:t>
          </a:r>
          <a:r>
            <a:rPr lang="pl-PL" sz="12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(), zaś w kolumnie </a:t>
          </a:r>
          <a:r>
            <a:rPr lang="pl-PL" sz="12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G zagnieżdżone jeżeli().</a:t>
          </a:r>
          <a:endParaRPr lang="pl-PL" sz="1200"/>
        </a:p>
      </xdr:txBody>
    </xdr:sp>
    <xdr:clientData/>
  </xdr:twoCellAnchor>
  <xdr:twoCellAnchor>
    <xdr:from>
      <xdr:col>0</xdr:col>
      <xdr:colOff>104774</xdr:colOff>
      <xdr:row>27</xdr:row>
      <xdr:rowOff>85725</xdr:rowOff>
    </xdr:from>
    <xdr:to>
      <xdr:col>5</xdr:col>
      <xdr:colOff>1009649</xdr:colOff>
      <xdr:row>35</xdr:row>
      <xdr:rowOff>57150</xdr:rowOff>
    </xdr:to>
    <xdr:sp macro="" textlink="">
      <xdr:nvSpPr>
        <xdr:cNvPr id="2" name="pole tekstowe 1">
          <a:extLst>
            <a:ext uri="{FF2B5EF4-FFF2-40B4-BE49-F238E27FC236}">
              <a16:creationId xmlns:a16="http://schemas.microsoft.com/office/drawing/2014/main" xmlns="" id="{584B25D8-6E6B-436D-86FB-9A39058A4AC3}"/>
            </a:ext>
          </a:extLst>
        </xdr:cNvPr>
        <xdr:cNvSpPr txBox="1"/>
      </xdr:nvSpPr>
      <xdr:spPr>
        <a:xfrm>
          <a:off x="104774" y="5267325"/>
          <a:ext cx="5133975" cy="1266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200" b="1"/>
            <a:t>jeżeli(</a:t>
          </a:r>
          <a:r>
            <a:rPr lang="pl-PL" sz="1200"/>
            <a:t>warunek</a:t>
          </a:r>
          <a:r>
            <a:rPr lang="pl-PL" sz="1200" b="1"/>
            <a:t>; </a:t>
          </a:r>
          <a:r>
            <a:rPr lang="pl-PL" sz="1200"/>
            <a:t>co bedzie w bieżącej komórce,</a:t>
          </a:r>
          <a:r>
            <a:rPr lang="pl-PL" sz="1200" baseline="0"/>
            <a:t> jesli warunek jest spełniony</a:t>
          </a:r>
          <a:r>
            <a:rPr lang="pl-PL" sz="1200" b="1" baseline="0"/>
            <a:t>; </a:t>
          </a:r>
          <a:r>
            <a:rPr lang="pl-PL" sz="1200" baseline="0"/>
            <a:t>co będzie w bieżącej komórce jeśli warunek jest nie spełniony)</a:t>
          </a:r>
        </a:p>
        <a:p>
          <a:r>
            <a:rPr lang="pl-PL" sz="1200" b="1" baseline="0"/>
            <a:t>oraz</a:t>
          </a:r>
          <a:r>
            <a:rPr lang="pl-PL" sz="1200" baseline="0"/>
            <a:t>(warunek1; warunek2; .....; warunek_n)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lub</a:t>
          </a:r>
          <a:r>
            <a:rPr lang="pl-PL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(warunek1; warunek2; .....; warunek_n)</a:t>
          </a:r>
          <a:endParaRPr lang="pl-PL" sz="1200">
            <a:effectLst/>
          </a:endParaRPr>
        </a:p>
        <a:p>
          <a:r>
            <a:rPr lang="pl-PL" sz="1200"/>
            <a:t>funkcje </a:t>
          </a:r>
          <a:r>
            <a:rPr lang="pl-PL" sz="1200" b="1"/>
            <a:t>oraz()</a:t>
          </a:r>
          <a:r>
            <a:rPr lang="pl-PL" sz="1200"/>
            <a:t> stosujemy wówczas,</a:t>
          </a:r>
          <a:r>
            <a:rPr lang="pl-PL" sz="1200" baseline="0"/>
            <a:t> gdzy wszystkie warunki mają być spełnione,</a:t>
          </a:r>
        </a:p>
        <a:p>
          <a:r>
            <a:rPr lang="pl-PL" sz="1200" baseline="0"/>
            <a:t>zaś funckcję </a:t>
          </a:r>
          <a:r>
            <a:rPr lang="pl-PL" sz="1200" b="1" baseline="0"/>
            <a:t>lub() </a:t>
          </a:r>
          <a:r>
            <a:rPr lang="pl-PL" sz="1200" baseline="0"/>
            <a:t>stosujemy, gdy conajmniej jeden warunek jest spełniony</a:t>
          </a:r>
          <a:endParaRPr lang="pl-PL" sz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</xdr:colOff>
      <xdr:row>7</xdr:row>
      <xdr:rowOff>198120</xdr:rowOff>
    </xdr:from>
    <xdr:to>
      <xdr:col>11</xdr:col>
      <xdr:colOff>30480</xdr:colOff>
      <xdr:row>27</xdr:row>
      <xdr:rowOff>22860</xdr:rowOff>
    </xdr:to>
    <xdr:sp macro="" textlink="">
      <xdr:nvSpPr>
        <xdr:cNvPr id="7169" name="Text Box 1">
          <a:extLst>
            <a:ext uri="{FF2B5EF4-FFF2-40B4-BE49-F238E27FC236}">
              <a16:creationId xmlns:a16="http://schemas.microsoft.com/office/drawing/2014/main" xmlns="" id="{00000000-0008-0000-0400-0000011C0000}"/>
            </a:ext>
          </a:extLst>
        </xdr:cNvPr>
        <xdr:cNvSpPr txBox="1">
          <a:spLocks noChangeArrowheads="1"/>
        </xdr:cNvSpPr>
      </xdr:nvSpPr>
      <xdr:spPr bwMode="auto">
        <a:xfrm>
          <a:off x="6364605" y="1893570"/>
          <a:ext cx="3657600" cy="341566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36576" tIns="32004" rIns="0" bIns="0" anchor="t" upright="1"/>
        <a:lstStyle/>
        <a:p>
          <a:pPr algn="r" rtl="0">
            <a:defRPr sz="1000"/>
          </a:pP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W pewnej firmie w danym miesiącu  wynagrodzenie pracownika może być powiększone o premię.   </a:t>
          </a:r>
        </a:p>
        <a:p>
          <a:pPr algn="r" rtl="0">
            <a:defRPr sz="1000"/>
          </a:pP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Zmienna wielkość premii wpisywana jest w odpowienim arkuszu w komórce </a:t>
          </a:r>
          <a:r>
            <a:rPr lang="pl-PL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F3</a:t>
          </a: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, wartość ewentualnej podwyżki w komórce </a:t>
          </a:r>
          <a:r>
            <a:rPr lang="pl-PL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F4</a:t>
          </a: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 </a:t>
          </a:r>
        </a:p>
        <a:p>
          <a:pPr algn="r" rtl="0">
            <a:defRPr sz="1000"/>
          </a:pP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W miesiącu marcu  podwyższono wszystkim pracownikom wynagrodzenie o </a:t>
          </a:r>
          <a:r>
            <a:rPr lang="pl-PL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1%, </a:t>
          </a: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zaś</a:t>
          </a:r>
          <a:r>
            <a:rPr lang="pl-PL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</a:t>
          </a: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premię przyznano  tylko kobietom w wysokości </a:t>
          </a:r>
          <a:r>
            <a:rPr lang="pl-PL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300 </a:t>
          </a: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zł.</a:t>
          </a:r>
        </a:p>
        <a:p>
          <a:pPr algn="r" rtl="0">
            <a:defRPr sz="1000"/>
          </a:pP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1. Wprowadż do komórki wysokość premii;</a:t>
          </a:r>
        </a:p>
        <a:p>
          <a:pPr algn="r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2. </a:t>
          </a: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Wpisz formułę do komórki </a:t>
          </a:r>
          <a:r>
            <a:rPr lang="pl-PL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D7</a:t>
          </a: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wyliczającą wartość do wypłaty (wynagroszenie+podwyżka+premia); użyj funkcji </a:t>
          </a:r>
          <a:r>
            <a:rPr lang="pl-PL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jeżeli()</a:t>
          </a: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r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3. </a:t>
          </a: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Przykopiuj formułę z komórki D7  do komórek  </a:t>
          </a:r>
          <a:r>
            <a:rPr lang="pl-PL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D8:D36</a:t>
          </a:r>
          <a:r>
            <a:rPr lang="pl-PL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  <a:endParaRPr lang="pl-PL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198118</xdr:colOff>
      <xdr:row>2</xdr:row>
      <xdr:rowOff>121920</xdr:rowOff>
    </xdr:from>
    <xdr:to>
      <xdr:col>16</xdr:col>
      <xdr:colOff>511628</xdr:colOff>
      <xdr:row>17</xdr:row>
      <xdr:rowOff>54428</xdr:rowOff>
    </xdr:to>
    <xdr:sp macro="" textlink="">
      <xdr:nvSpPr>
        <xdr:cNvPr id="2" name="pole tekstowe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 txBox="1"/>
      </xdr:nvSpPr>
      <xdr:spPr>
        <a:xfrm>
          <a:off x="3561804" y="464820"/>
          <a:ext cx="3971110" cy="18919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200" b="1"/>
            <a:t>1. </a:t>
          </a:r>
          <a:r>
            <a:rPr lang="pl-PL" sz="1200"/>
            <a:t>W komórce </a:t>
          </a:r>
          <a:r>
            <a:rPr lang="pl-PL" sz="1200" b="1"/>
            <a:t>M24</a:t>
          </a:r>
          <a:r>
            <a:rPr lang="pl-PL" sz="1200"/>
            <a:t> wykorzystując funkcję </a:t>
          </a:r>
          <a:r>
            <a:rPr lang="pl-PL" sz="1200" b="1"/>
            <a:t>ile liczb()</a:t>
          </a:r>
        </a:p>
        <a:p>
          <a:r>
            <a:rPr lang="pl-PL" sz="1200" b="1" baseline="0"/>
            <a:t>   oblicz </a:t>
          </a:r>
          <a:r>
            <a:rPr lang="pl-PL" sz="1200" b="0" baseline="0"/>
            <a:t>ile liczb</a:t>
          </a:r>
          <a:r>
            <a:rPr lang="pl-PL" sz="1200" b="1" baseline="0"/>
            <a:t> </a:t>
          </a:r>
          <a:r>
            <a:rPr lang="pl-PL" sz="1200" baseline="0"/>
            <a:t>występuje w bloku komórek  </a:t>
          </a:r>
          <a:r>
            <a:rPr lang="pl-PL" sz="1200" b="1" baseline="0"/>
            <a:t>B3:G52</a:t>
          </a:r>
          <a:r>
            <a:rPr lang="pl-PL" sz="1200" baseline="0"/>
            <a:t>;</a:t>
          </a:r>
        </a:p>
        <a:p>
          <a:endParaRPr lang="pl-PL" sz="800" baseline="0"/>
        </a:p>
        <a:p>
          <a:r>
            <a:rPr lang="pl-PL" sz="1200" b="1" baseline="0"/>
            <a:t>2. </a:t>
          </a:r>
          <a:r>
            <a:rPr lang="pl-PL" sz="1200" baseline="0"/>
            <a:t>W kolumnie</a:t>
          </a:r>
          <a:r>
            <a:rPr lang="pl-PL" sz="1200" b="1" baseline="0"/>
            <a:t> Liczebność </a:t>
          </a:r>
          <a:r>
            <a:rPr lang="pl-PL" sz="1200" baseline="0"/>
            <a:t>wykorzystując funkcję</a:t>
          </a:r>
          <a:r>
            <a:rPr lang="pl-PL" sz="1200" b="1" baseline="0"/>
            <a:t> </a:t>
          </a:r>
        </a:p>
        <a:p>
          <a:r>
            <a:rPr lang="pl-PL" sz="1200" b="1" baseline="0"/>
            <a:t>    Licz.jeżeli </a:t>
          </a:r>
          <a:r>
            <a:rPr lang="pl-PL" sz="1200" baseline="0"/>
            <a:t>oblicz ile razy wystąpiłykule o numerach 1, 2, ...</a:t>
          </a:r>
        </a:p>
        <a:p>
          <a:endParaRPr lang="pl-PL" sz="1100" baseline="0"/>
        </a:p>
        <a:p>
          <a:r>
            <a:rPr lang="pl-PL" sz="1200" b="1" baseline="0"/>
            <a:t>3. </a:t>
          </a:r>
          <a:r>
            <a:rPr lang="pl-PL" sz="1200" b="0" baseline="0"/>
            <a:t>W komórce </a:t>
          </a:r>
          <a:r>
            <a:rPr lang="pl-PL" sz="1200" b="1" baseline="0"/>
            <a:t>J53</a:t>
          </a:r>
          <a:r>
            <a:rPr lang="pl-PL" sz="1200" b="0" baseline="0"/>
            <a:t> policz </a:t>
          </a:r>
          <a:r>
            <a:rPr lang="pl-PL" sz="1200" b="1" baseline="0"/>
            <a:t>sumę</a:t>
          </a:r>
          <a:r>
            <a:rPr lang="pl-PL" sz="1200" b="0" baseline="0"/>
            <a:t> wystapień wszystkich kul.</a:t>
          </a:r>
        </a:p>
        <a:p>
          <a:r>
            <a:rPr lang="pl-PL" sz="1200" b="0" baseline="0"/>
            <a:t>     </a:t>
          </a:r>
          <a:r>
            <a:rPr lang="pl-PL" sz="1200" b="1" baseline="0"/>
            <a:t>Uwaga! </a:t>
          </a:r>
          <a:r>
            <a:rPr lang="pl-PL" sz="1200" b="0" baseline="0"/>
            <a:t>zawartość  komórek </a:t>
          </a:r>
          <a:r>
            <a:rPr lang="pl-PL" sz="1200" b="1" baseline="0"/>
            <a:t>M24</a:t>
          </a:r>
          <a:r>
            <a:rPr lang="pl-PL" sz="1200" b="0" baseline="0"/>
            <a:t> i </a:t>
          </a:r>
          <a:r>
            <a:rPr lang="pl-PL" sz="1200" b="1" baseline="0"/>
            <a:t>J53</a:t>
          </a:r>
          <a:r>
            <a:rPr lang="pl-PL" sz="1200" b="0" baseline="0"/>
            <a:t> musi byc taka</a:t>
          </a:r>
        </a:p>
        <a:p>
          <a:r>
            <a:rPr lang="pl-PL" sz="1200" b="0" baseline="0"/>
            <a:t>                    sama, jeśli nie jest znajdź przyczynę.</a:t>
          </a:r>
          <a:endParaRPr lang="pl-PL" sz="12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35</xdr:row>
      <xdr:rowOff>55245</xdr:rowOff>
    </xdr:from>
    <xdr:to>
      <xdr:col>7</xdr:col>
      <xdr:colOff>339090</xdr:colOff>
      <xdr:row>42</xdr:row>
      <xdr:rowOff>9525</xdr:rowOff>
    </xdr:to>
    <xdr:sp macro="" textlink="">
      <xdr:nvSpPr>
        <xdr:cNvPr id="2" name="pole tekstowe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 txBox="1"/>
      </xdr:nvSpPr>
      <xdr:spPr>
        <a:xfrm>
          <a:off x="676275" y="5741670"/>
          <a:ext cx="4291965" cy="1087755"/>
        </a:xfrm>
        <a:prstGeom prst="rect">
          <a:avLst/>
        </a:prstGeom>
        <a:solidFill>
          <a:srgbClr val="FF996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200" b="1"/>
            <a:t>Ćwiczenie</a:t>
          </a:r>
        </a:p>
        <a:p>
          <a:r>
            <a:rPr lang="pl-PL" sz="1200"/>
            <a:t>Wykorzystując dane dotyczące ilości osób, które oddały honorowo krew w III kwartale 2018r. w Centrum Krwiodawca </a:t>
          </a:r>
        </a:p>
        <a:p>
          <a:r>
            <a:rPr lang="pl-PL" sz="1200"/>
            <a:t>w mieście X,</a:t>
          </a:r>
          <a:r>
            <a:rPr lang="pl-PL" sz="1200" baseline="0"/>
            <a:t> </a:t>
          </a:r>
          <a:r>
            <a:rPr lang="pl-PL" sz="1200"/>
            <a:t>wykorzysując funkcje </a:t>
          </a:r>
          <a:r>
            <a:rPr lang="pl-PL" sz="1200" b="1"/>
            <a:t>suma.jeżeli</a:t>
          </a:r>
          <a:r>
            <a:rPr lang="pl-PL" sz="1200" b="1" baseline="0"/>
            <a:t> </a:t>
          </a:r>
          <a:r>
            <a:rPr lang="pl-PL" sz="1200" baseline="0"/>
            <a:t>oraz </a:t>
          </a:r>
          <a:r>
            <a:rPr lang="pl-PL" sz="1200" b="1" baseline="0"/>
            <a:t>średnia.jeżeli</a:t>
          </a:r>
          <a:r>
            <a:rPr lang="pl-PL" sz="1200" b="0" baseline="0"/>
            <a:t>,</a:t>
          </a:r>
          <a:r>
            <a:rPr lang="pl-PL" sz="1200" b="1" baseline="0"/>
            <a:t> </a:t>
          </a:r>
          <a:r>
            <a:rPr lang="pl-PL" sz="1200" baseline="0"/>
            <a:t>wypełnij powyższe tabelki.</a:t>
          </a:r>
          <a:endParaRPr lang="pl-PL" sz="1200"/>
        </a:p>
      </xdr:txBody>
    </xdr:sp>
    <xdr:clientData/>
  </xdr:twoCellAnchor>
  <xdr:twoCellAnchor>
    <xdr:from>
      <xdr:col>9</xdr:col>
      <xdr:colOff>257175</xdr:colOff>
      <xdr:row>23</xdr:row>
      <xdr:rowOff>57148</xdr:rowOff>
    </xdr:from>
    <xdr:to>
      <xdr:col>14</xdr:col>
      <xdr:colOff>228600</xdr:colOff>
      <xdr:row>44</xdr:row>
      <xdr:rowOff>104774</xdr:rowOff>
    </xdr:to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xmlns="" id="{294D00B2-E0B9-428B-8205-4C3672B7B4A7}"/>
            </a:ext>
          </a:extLst>
        </xdr:cNvPr>
        <xdr:cNvSpPr txBox="1"/>
      </xdr:nvSpPr>
      <xdr:spPr>
        <a:xfrm>
          <a:off x="6353175" y="3800473"/>
          <a:ext cx="4248150" cy="3448051"/>
        </a:xfrm>
        <a:prstGeom prst="rect">
          <a:avLst/>
        </a:prstGeom>
        <a:solidFill>
          <a:schemeClr val="lt1"/>
        </a:solidFill>
        <a:ln w="9525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200" b="1">
              <a:solidFill>
                <a:schemeClr val="accent6">
                  <a:lumMod val="75000"/>
                </a:schemeClr>
              </a:solidFill>
            </a:rPr>
            <a:t>Suma.jeżeli() </a:t>
          </a:r>
        </a:p>
        <a:p>
          <a:r>
            <a:rPr lang="pl-PL" sz="1200"/>
            <a:t>funkcja matematyczna, która sumuje wartości z zakresu spełniającego okreslone kryteria.</a:t>
          </a:r>
        </a:p>
        <a:p>
          <a:r>
            <a:rPr lang="pl-PL" sz="1200" b="1"/>
            <a:t>suma.jeżeli(zakres;kryteria; suma_zakres)</a:t>
          </a:r>
        </a:p>
        <a:p>
          <a:r>
            <a:rPr lang="pl-PL" sz="1200" b="1"/>
            <a:t>zakres </a:t>
          </a:r>
          <a:r>
            <a:rPr lang="pl-PL" sz="1200" b="0"/>
            <a:t>- komórki , do których zostaną</a:t>
          </a:r>
          <a:r>
            <a:rPr lang="pl-PL" sz="1200" b="0" baseline="0"/>
            <a:t> zastosowane kryteria; liczby, tekst, tablice;</a:t>
          </a:r>
        </a:p>
        <a:p>
          <a:r>
            <a:rPr lang="pl-PL" sz="1200" b="1" baseline="0"/>
            <a:t>kryteria</a:t>
          </a:r>
          <a:r>
            <a:rPr lang="pl-PL" sz="1200" b="0" baseline="0"/>
            <a:t> - w postaci liczby, wyrażenia, odwołania do komórki, tekstu lub funkcji okreslającej, któRe komórki będą dodawane.</a:t>
          </a:r>
        </a:p>
        <a:p>
          <a:r>
            <a:rPr lang="pl-PL" sz="1200" b="0" baseline="0"/>
            <a:t>znak </a:t>
          </a:r>
          <a:r>
            <a:rPr lang="pl-PL" sz="1200" b="1" baseline="0"/>
            <a:t>? </a:t>
          </a:r>
          <a:r>
            <a:rPr lang="pl-PL" sz="1200" b="0" baseline="0"/>
            <a:t>zastępuje dowolny znak</a:t>
          </a:r>
          <a:r>
            <a:rPr lang="pl-PL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z; nak</a:t>
          </a:r>
          <a:r>
            <a:rPr lang="pl-PL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* </a:t>
          </a:r>
          <a:r>
            <a:rPr lang="pl-PL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zastepuje sekwencje znaków; </a:t>
          </a:r>
          <a:endParaRPr lang="pl-PL" sz="1200" b="0" baseline="0"/>
        </a:p>
        <a:p>
          <a:r>
            <a:rPr lang="pl-PL" sz="1200" b="1" baseline="0"/>
            <a:t>suma_zakres </a:t>
          </a:r>
          <a:r>
            <a:rPr lang="pl-PL" sz="1200" b="0" baseline="0"/>
            <a:t>- komórki, które podelgają sumowaniu</a:t>
          </a:r>
        </a:p>
        <a:p>
          <a:endParaRPr lang="pl-PL" sz="800" b="1"/>
        </a:p>
        <a:p>
          <a:r>
            <a:rPr lang="pl-PL" sz="1200" b="1"/>
            <a:t>przykład</a:t>
          </a:r>
        </a:p>
        <a:p>
          <a:r>
            <a:rPr lang="pl-PL" sz="1200" b="0"/>
            <a:t>suma.jeżeli</a:t>
          </a:r>
          <a:r>
            <a:rPr lang="pl-PL" sz="1200" b="1"/>
            <a:t>(B4:B34</a:t>
          </a:r>
          <a:r>
            <a:rPr lang="pl-PL" sz="1200" b="0"/>
            <a:t>;"wtorek";</a:t>
          </a:r>
          <a:r>
            <a:rPr lang="pl-PL" sz="1200" b="1"/>
            <a:t>C4:C34)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suma.jeżeli</a:t>
          </a:r>
          <a:r>
            <a:rPr lang="pl-PL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(B4:B34;</a:t>
          </a:r>
          <a:r>
            <a:rPr lang="pl-P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L13</a:t>
          </a:r>
          <a:r>
            <a:rPr lang="pl-PL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;C4:C34)</a:t>
          </a:r>
          <a:endParaRPr lang="pl-PL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suma.jeżeli</a:t>
          </a:r>
          <a:r>
            <a:rPr lang="pl-PL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($B$4:$B$34;</a:t>
          </a:r>
          <a:r>
            <a:rPr lang="pl-P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L1</a:t>
          </a:r>
          <a:r>
            <a:rPr lang="pl-PL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3;$C$4:$C$34)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suma.jeżeli</a:t>
          </a:r>
          <a:r>
            <a:rPr lang="pl-PL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(B4:B34;</a:t>
          </a:r>
          <a:r>
            <a:rPr lang="pl-P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&gt;20</a:t>
          </a:r>
          <a:r>
            <a:rPr lang="pl-PL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pl-PL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pl-PL" sz="1200">
            <a:effectLst/>
          </a:endParaRPr>
        </a:p>
        <a:p>
          <a:endParaRPr lang="pl-PL" sz="800" b="1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200" b="1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Średnia.jeżeli() </a:t>
          </a:r>
          <a:r>
            <a:rPr lang="pl-PL" sz="12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- funkcja statystyczna, argumenty funkcji podobnie jak w</a:t>
          </a:r>
          <a:r>
            <a:rPr lang="pl-PL" sz="1200" b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funkcji </a:t>
          </a:r>
          <a:r>
            <a:rPr lang="pl-PL" sz="1200" b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Suma.jeżeli()</a:t>
          </a:r>
          <a:endParaRPr lang="pl-PL" sz="12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endParaRPr lang="pl-PL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563878</xdr:colOff>
      <xdr:row>15</xdr:row>
      <xdr:rowOff>36194</xdr:rowOff>
    </xdr:from>
    <xdr:to>
      <xdr:col>10</xdr:col>
      <xdr:colOff>323849</xdr:colOff>
      <xdr:row>27</xdr:row>
      <xdr:rowOff>9525</xdr:rowOff>
    </xdr:to>
    <xdr:sp macro="" textlink="">
      <xdr:nvSpPr>
        <xdr:cNvPr id="3073" name="Text Box 1">
          <a:extLst>
            <a:ext uri="{FF2B5EF4-FFF2-40B4-BE49-F238E27FC236}">
              <a16:creationId xmlns:a16="http://schemas.microsoft.com/office/drawing/2014/main" xmlns="" id="{00000000-0008-0000-0700-0000010C0000}"/>
            </a:ext>
          </a:extLst>
        </xdr:cNvPr>
        <xdr:cNvSpPr txBox="1">
          <a:spLocks noChangeArrowheads="1"/>
        </xdr:cNvSpPr>
      </xdr:nvSpPr>
      <xdr:spPr bwMode="auto">
        <a:xfrm>
          <a:off x="3811903" y="2465069"/>
          <a:ext cx="3912871" cy="1916431"/>
        </a:xfrm>
        <a:prstGeom prst="rect">
          <a:avLst/>
        </a:pr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Zadanie:</a:t>
          </a:r>
          <a:endParaRPr lang="pl-PL" sz="1200" b="0" i="0" u="none" strike="noStrike" baseline="0">
            <a:solidFill>
              <a:srgbClr val="000000"/>
            </a:solidFill>
            <a:latin typeface="Arial CE"/>
            <a:cs typeface="Arial CE"/>
          </a:endParaRPr>
        </a:p>
        <a:p>
          <a:pPr algn="l" rtl="0">
            <a:defRPr sz="1000"/>
          </a:pP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1. </a:t>
          </a: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Uzupełnij pierwszą tabelkę wykorzystując </a:t>
          </a:r>
        </a:p>
        <a:p>
          <a:pPr algn="l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    funkcję </a:t>
          </a: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suma()</a:t>
          </a: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i  odpowiednie </a:t>
          </a: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funkcje </a:t>
          </a:r>
        </a:p>
        <a:p>
          <a:pPr algn="l" rtl="0">
            <a:defRPr sz="1000"/>
          </a:pP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     statystyczne.</a:t>
          </a:r>
        </a:p>
        <a:p>
          <a:pPr algn="l" rtl="0">
            <a:defRPr sz="1000"/>
          </a:pP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2. </a:t>
          </a: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Używając funkcję </a:t>
          </a: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częstość() </a:t>
          </a: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uzupelnij drugą </a:t>
          </a:r>
        </a:p>
        <a:p>
          <a:pPr algn="l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   tabelkę:</a:t>
          </a:r>
        </a:p>
        <a:p>
          <a:pPr algn="l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   </a:t>
          </a: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a) </a:t>
          </a: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do komórki </a:t>
          </a: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G6 </a:t>
          </a: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wstaw funkcję </a:t>
          </a: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częstość()</a:t>
          </a: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:</a:t>
          </a:r>
        </a:p>
        <a:p>
          <a:pPr algn="l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       w pierwszym polu: zaznacz wartości z kolumny </a:t>
          </a: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D</a:t>
          </a: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,</a:t>
          </a:r>
        </a:p>
        <a:p>
          <a:pPr algn="l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       zaś w drugim polu: prawe końce przedziałow </a:t>
          </a: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(F6:F13)</a:t>
          </a:r>
        </a:p>
        <a:p>
          <a:pPr algn="l" rtl="0">
            <a:defRPr sz="1000"/>
          </a:pPr>
          <a:r>
            <a:rPr lang="pl-PL" sz="1100" b="1" i="0" u="none" strike="noStrike" baseline="0">
              <a:solidFill>
                <a:srgbClr val="000000"/>
              </a:solidFill>
              <a:latin typeface="Arial CE"/>
              <a:cs typeface="Arial CE"/>
            </a:rPr>
            <a:t>        nie trzeba </a:t>
          </a: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uzywać znaku $</a:t>
          </a:r>
        </a:p>
        <a:p>
          <a:pPr algn="l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Arial CE"/>
              <a:cs typeface="Arial CE"/>
            </a:rPr>
            <a:t>    </a:t>
          </a:r>
          <a:endParaRPr lang="pl-PL" sz="1400" b="1" i="0" u="none" strike="noStrike" baseline="0">
            <a:solidFill>
              <a:srgbClr val="000000"/>
            </a:solidFill>
            <a:latin typeface="Arial CE"/>
            <a:cs typeface="Arial CE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201930</xdr:colOff>
      <xdr:row>0</xdr:row>
      <xdr:rowOff>137160</xdr:rowOff>
    </xdr:from>
    <xdr:to>
      <xdr:col>19</xdr:col>
      <xdr:colOff>461010</xdr:colOff>
      <xdr:row>29</xdr:row>
      <xdr:rowOff>95251</xdr:rowOff>
    </xdr:to>
    <xdr:sp macro="" textlink="">
      <xdr:nvSpPr>
        <xdr:cNvPr id="2" name="pole tekstowe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 txBox="1"/>
      </xdr:nvSpPr>
      <xdr:spPr>
        <a:xfrm>
          <a:off x="6393180" y="137160"/>
          <a:ext cx="4526280" cy="537781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l-PL" sz="1200" b="1"/>
            <a:t>Tworzenie szeregu rozdzielczego </a:t>
          </a:r>
        </a:p>
        <a:p>
          <a:r>
            <a:rPr lang="pl-PL" sz="1100" b="1"/>
            <a:t>1. </a:t>
          </a:r>
          <a:r>
            <a:rPr lang="pl-PL" sz="1100"/>
            <a:t>Nadaj blokowi komórek zaznaczonych kolorem jasnoniebieskim nazwę</a:t>
          </a:r>
        </a:p>
        <a:p>
          <a:r>
            <a:rPr lang="pl-PL" sz="1100"/>
            <a:t>     </a:t>
          </a:r>
          <a:r>
            <a:rPr lang="pl-PL" sz="1100" b="1"/>
            <a:t>Cholesterol</a:t>
          </a:r>
          <a:r>
            <a:rPr lang="pl-PL" sz="1100"/>
            <a:t>;</a:t>
          </a:r>
        </a:p>
        <a:p>
          <a:r>
            <a:rPr lang="pl-PL" sz="1100" b="1"/>
            <a:t>2. </a:t>
          </a:r>
          <a:r>
            <a:rPr lang="pl-PL" sz="1100" b="1" baseline="0"/>
            <a:t> </a:t>
          </a:r>
          <a:r>
            <a:rPr lang="pl-PL" sz="1100" b="0" baseline="0"/>
            <a:t>Używając tej nazwy, odpowiedniej funkcji i formuły oblicz ilość danych</a:t>
          </a:r>
        </a:p>
        <a:p>
          <a:r>
            <a:rPr lang="pl-PL" sz="1100" b="0" baseline="0"/>
            <a:t>     umieszczonych w bloku Cholesterol oraz ich wartość maksymalną, </a:t>
          </a:r>
        </a:p>
        <a:p>
          <a:r>
            <a:rPr lang="pl-PL" sz="1100" b="0" baseline="0"/>
            <a:t>     minimalną oraz różnicę miedzy nimi; </a:t>
          </a:r>
          <a:r>
            <a:rPr lang="pl-PL" sz="1100" b="1" baseline="0">
              <a:solidFill>
                <a:srgbClr val="FF0000"/>
              </a:solidFill>
            </a:rPr>
            <a:t>Uwaga! </a:t>
          </a:r>
          <a:r>
            <a:rPr lang="pl-PL" sz="1100" b="0" baseline="0"/>
            <a:t>Puste komórki nie są brane</a:t>
          </a:r>
        </a:p>
        <a:p>
          <a:r>
            <a:rPr lang="pl-PL" sz="1100" b="0" baseline="0"/>
            <a:t>     pod uwagę przez funkcje;</a:t>
          </a:r>
        </a:p>
        <a:p>
          <a:r>
            <a:rPr lang="pl-PL" sz="1100" b="1" baseline="0"/>
            <a:t>3. 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Biorąc pod uwagę uzyskane w punkcie 2 informacje zdecyduj na jakie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przedziały podzielisz wartości cholesterolu z bloku Cholesterol;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wpisz lewe i prawe strony przedziałów pod tytuły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Lewy 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i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Prawy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;</a:t>
          </a:r>
        </a:p>
        <a:p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4. 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W komórkach umieszczonych pod tytułem 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Liczebność i 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wykorzystując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funkcję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Częstość 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oblicz liczebność dla kazdego przedziału wartości 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cholesterolu; Uwaga! W ten sposób tworzysz szereg rozdzielczy;</a:t>
          </a:r>
        </a:p>
        <a:p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5. 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Stwórz powyższy szereg rozdzielczy używając drugiego sposobu - 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modułu - 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Analiza danych - Histogram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, gdzie 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Zakres zbioru 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zaznaccz prawe 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strony przedziałów; zaś Zakres Wyjsciowy kliknij na komórkę, która będzie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lewym górnym rogiem bloku odpowiedzi. Możesz jednocześnie stworzyć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wykres: 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histogram iczebności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</a:p>
        <a:p>
          <a:r>
            <a:rPr lang="pl-PL" sz="1100" b="1" baseline="0">
              <a:solidFill>
                <a:srgbClr val="FF0000"/>
              </a:solidFill>
              <a:latin typeface="+mn-lt"/>
              <a:ea typeface="+mn-ea"/>
              <a:cs typeface="+mn-cs"/>
            </a:rPr>
            <a:t>    Uwaga! 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Jesli na wstążce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Dane 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z prawej strony nie widać 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ikony 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Analiza danych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, trzeba te opcję uaktywnić w nastepujący sposób: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Plik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- 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Opcje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- 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Dodatki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- na dole strony </a:t>
          </a:r>
          <a:r>
            <a:rPr lang="pl-PL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Zarządzaj - Przejdź </a:t>
          </a:r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-  trzeba</a:t>
          </a:r>
        </a:p>
        <a:p>
          <a:r>
            <a:rPr lang="pl-PL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   odzaznaczyć  Analysis ToolPak</a:t>
          </a:r>
        </a:p>
        <a:p>
          <a:endParaRPr lang="pl-PL" sz="1100" b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l-PL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13</xdr:col>
      <xdr:colOff>590551</xdr:colOff>
      <xdr:row>20</xdr:row>
      <xdr:rowOff>104776</xdr:rowOff>
    </xdr:from>
    <xdr:to>
      <xdr:col>17</xdr:col>
      <xdr:colOff>361951</xdr:colOff>
      <xdr:row>28</xdr:row>
      <xdr:rowOff>161291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xmlns="" id="{273F37C2-636F-4C01-BB69-64772FA4B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1" y="4019551"/>
          <a:ext cx="2209800" cy="1399540"/>
        </a:xfrm>
        <a:prstGeom prst="rect">
          <a:avLst/>
        </a:prstGeom>
        <a:ln w="12700">
          <a:solidFill>
            <a:srgbClr val="FF0000"/>
          </a:solidFill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447674</xdr:colOff>
      <xdr:row>28</xdr:row>
      <xdr:rowOff>28575</xdr:rowOff>
    </xdr:from>
    <xdr:to>
      <xdr:col>10</xdr:col>
      <xdr:colOff>857250</xdr:colOff>
      <xdr:row>39</xdr:row>
      <xdr:rowOff>114300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pole tekstowe 1">
              <a:extLst>
                <a:ext uri="{FF2B5EF4-FFF2-40B4-BE49-F238E27FC236}">
                  <a16:creationId xmlns:a16="http://schemas.microsoft.com/office/drawing/2014/main" xmlns="" id="{6235CFD6-A840-486B-825C-14211C6A4953}"/>
                </a:ext>
              </a:extLst>
            </xdr:cNvPr>
            <xdr:cNvSpPr txBox="1"/>
          </xdr:nvSpPr>
          <xdr:spPr>
            <a:xfrm>
              <a:off x="4333874" y="5181600"/>
              <a:ext cx="3924301" cy="2076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l-PL" sz="1100" b="1">
                  <a:solidFill>
                    <a:schemeClr val="accent6">
                      <a:lumMod val="7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Nowe bądź inaczej nazwane pojęcia</a:t>
              </a:r>
            </a:p>
            <a:p>
              <a:r>
                <a:rPr lang="pl-PL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Błąd standardowy</a:t>
              </a:r>
              <a:r>
                <a:rPr lang="pl-PL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j</a:t>
              </a:r>
              <a:r>
                <a:rPr lang="pl-PL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est to niepewność (błąd) oszacowania średniej </a:t>
              </a:r>
              <a:endParaRPr lang="pl-PL" sz="1100" b="1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l-PL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pl-PL" sz="1600" b="1" i="1">
                          <a:solidFill>
                            <a:schemeClr val="dk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l-PL" sz="16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𝒔</m:t>
                      </m:r>
                    </m:e>
                    <m:sub>
                      <m:acc>
                        <m:accPr>
                          <m:chr m:val="̅"/>
                          <m:ctrlPr>
                            <a:rPr lang="pl-PL" sz="1600" b="1" i="1">
                              <a:solidFill>
                                <a:schemeClr val="dk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lang="pl-PL" sz="16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𝒙</m:t>
                          </m:r>
                        </m:e>
                      </m:acc>
                    </m:sub>
                  </m:sSub>
                  <m:r>
                    <a:rPr lang="pl-PL" sz="1600" b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ad>
                    <m:radPr>
                      <m:degHide m:val="on"/>
                      <m:ctrlPr>
                        <a:rPr lang="pl-PL" sz="1600" b="1" i="1">
                          <a:solidFill>
                            <a:schemeClr val="dk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radPr>
                    <m:deg/>
                    <m:e>
                      <m:f>
                        <m:fPr>
                          <m:ctrlPr>
                            <a:rPr lang="pl-PL" sz="1600" b="1" i="1">
                              <a:solidFill>
                                <a:schemeClr val="dk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nary>
                            <m:naryPr>
                              <m:chr m:val="∑"/>
                              <m:limLoc m:val="subSup"/>
                              <m:ctrlPr>
                                <a:rPr lang="pl-PL" sz="16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</m:ctrlPr>
                            </m:naryPr>
                            <m:sub>
                              <m:r>
                                <a:rPr lang="pl-PL" sz="16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𝒊</m:t>
                              </m:r>
                              <m:r>
                                <a:rPr lang="pl-PL" sz="1600" b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=</m:t>
                              </m:r>
                              <m:r>
                                <a:rPr lang="pl-PL" sz="16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𝟏</m:t>
                              </m:r>
                            </m:sub>
                            <m:sup>
                              <m:r>
                                <a:rPr lang="pl-PL" sz="16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p>
                            <m:e>
                              <m:sSup>
                                <m:sSupPr>
                                  <m:ctrlPr>
                                    <a:rPr lang="pl-PL" sz="1600" b="1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/>
                                      <a:ea typeface="+mn-ea"/>
                                      <a:cs typeface="+mn-cs"/>
                                    </a:rPr>
                                  </m:ctrlPr>
                                </m:sSupPr>
                                <m:e>
                                  <m:d>
                                    <m:dPr>
                                      <m:ctrlPr>
                                        <a:rPr lang="pl-PL" sz="1600" b="1" i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Cambria Math"/>
                                          <a:ea typeface="+mn-ea"/>
                                          <a:cs typeface="+mn-cs"/>
                                        </a:rPr>
                                      </m:ctrlPr>
                                    </m:dPr>
                                    <m:e>
                                      <m:sSub>
                                        <m:sSubPr>
                                          <m:ctrlPr>
                                            <a:rPr lang="pl-PL" sz="1600" b="1" i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Cambria Math"/>
                                              <a:ea typeface="+mn-ea"/>
                                              <a:cs typeface="+mn-cs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pl-PL" sz="1600" b="1" i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𝒙</m:t>
                                          </m:r>
                                        </m:e>
                                        <m:sub>
                                          <m:r>
                                            <a:rPr lang="pl-PL" sz="1600" b="1" i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𝒊</m:t>
                                          </m:r>
                                        </m:sub>
                                      </m:sSub>
                                      <m:r>
                                        <a:rPr lang="pl-PL" sz="1600" b="1" i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−</m:t>
                                      </m:r>
                                      <m:bar>
                                        <m:barPr>
                                          <m:pos m:val="top"/>
                                          <m:ctrlPr>
                                            <a:rPr lang="pl-PL" sz="1600" b="1" i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Cambria Math"/>
                                              <a:ea typeface="+mn-ea"/>
                                              <a:cs typeface="+mn-cs"/>
                                            </a:rPr>
                                          </m:ctrlPr>
                                        </m:barPr>
                                        <m:e>
                                          <m:r>
                                            <a:rPr lang="pl-PL" sz="1600" b="1" i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𝒙</m:t>
                                          </m:r>
                                        </m:e>
                                      </m:bar>
                                    </m:e>
                                  </m:d>
                                </m:e>
                                <m:sup>
                                  <m:r>
                                    <a:rPr lang="pl-PL" sz="1600" b="1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𝟐</m:t>
                                  </m:r>
                                </m:sup>
                              </m:sSup>
                            </m:e>
                          </m:nary>
                        </m:num>
                        <m:den>
                          <m:r>
                            <a:rPr lang="pl-PL" sz="16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  <m:d>
                            <m:dPr>
                              <m:ctrlPr>
                                <a:rPr lang="pl-PL" sz="16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pl-PL" sz="16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  <m:r>
                                <a:rPr lang="pl-PL" sz="16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−</m:t>
                              </m:r>
                              <m:r>
                                <a:rPr lang="pl-PL" sz="16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𝟏</m:t>
                              </m:r>
                            </m:e>
                          </m:d>
                        </m:den>
                      </m:f>
                    </m:e>
                  </m:rad>
                </m:oMath>
              </a14:m>
              <a:r>
                <a:rPr lang="pl-PL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pl-PL" sz="1400" b="1" i="1">
                          <a:solidFill>
                            <a:schemeClr val="dk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l-PL" sz="14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𝒔</m:t>
                      </m:r>
                    </m:e>
                    <m:sub>
                      <m:acc>
                        <m:accPr>
                          <m:chr m:val="̅"/>
                          <m:ctrlPr>
                            <a:rPr lang="pl-PL" sz="1400" b="1" i="1">
                              <a:solidFill>
                                <a:schemeClr val="dk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</m:ctrlPr>
                        </m:accPr>
                        <m:e>
                          <m:r>
                            <a:rPr lang="pl-PL" sz="14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𝒙</m:t>
                          </m:r>
                        </m:e>
                      </m:acc>
                    </m:sub>
                  </m:sSub>
                  <m:r>
                    <a:rPr lang="pl-PL" sz="1400" b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f>
                    <m:fPr>
                      <m:ctrlPr>
                        <a:rPr lang="pl-PL" sz="1400" b="1" i="1">
                          <a:solidFill>
                            <a:schemeClr val="dk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pl-PL" sz="14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𝒔</m:t>
                      </m:r>
                    </m:num>
                    <m:den>
                      <m:rad>
                        <m:radPr>
                          <m:degHide m:val="on"/>
                          <m:ctrlPr>
                            <a:rPr lang="pl-PL" sz="1400" b="1" i="1">
                              <a:solidFill>
                                <a:schemeClr val="dk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</m:ctrlPr>
                        </m:radPr>
                        <m:deg/>
                        <m:e>
                          <m:r>
                            <a:rPr lang="pl-PL" sz="14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e>
                      </m:rad>
                    </m:den>
                  </m:f>
                </m:oMath>
              </a14:m>
              <a:endParaRPr lang="pl-PL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pl-PL" sz="800" b="1"/>
            </a:p>
            <a:p>
              <a:r>
                <a:rPr lang="pl-PL" sz="1100" b="1"/>
                <a:t>Tryb </a:t>
              </a:r>
              <a:r>
                <a:rPr lang="pl-PL" sz="1100"/>
                <a:t>- dominanta, </a:t>
              </a:r>
            </a:p>
            <a:p>
              <a:r>
                <a:rPr lang="pl-PL" sz="1100"/>
                <a:t>jesli Excel</a:t>
              </a:r>
              <a:r>
                <a:rPr lang="pl-PL" sz="1100" baseline="0"/>
                <a:t> poda tu wartość #N/D!  oznacza to, że zmienna nie ma dominany.</a:t>
              </a:r>
            </a:p>
            <a:p>
              <a:r>
                <a:rPr lang="pl-PL" sz="1100" b="1" baseline="0"/>
                <a:t>Zakres</a:t>
              </a:r>
              <a:r>
                <a:rPr lang="pl-PL" sz="1100" baseline="0"/>
                <a:t> - inaczej </a:t>
              </a:r>
              <a:r>
                <a:rPr lang="pl-PL" sz="1100" b="1" baseline="0"/>
                <a:t>rozstęp=max-min</a:t>
              </a:r>
              <a:endParaRPr lang="pl-PL" sz="1100" b="1"/>
            </a:p>
          </xdr:txBody>
        </xdr:sp>
      </mc:Choice>
      <mc:Fallback xmlns="">
        <xdr:sp macro="" textlink="">
          <xdr:nvSpPr>
            <xdr:cNvPr id="2" name="pole tekstowe 1">
              <a:extLst>
                <a:ext uri="{FF2B5EF4-FFF2-40B4-BE49-F238E27FC236}">
                  <a16:creationId xmlns:a16="http://schemas.microsoft.com/office/drawing/2014/main" id="{6235CFD6-A840-486B-825C-14211C6A4953}"/>
                </a:ext>
              </a:extLst>
            </xdr:cNvPr>
            <xdr:cNvSpPr txBox="1"/>
          </xdr:nvSpPr>
          <xdr:spPr>
            <a:xfrm>
              <a:off x="4333874" y="5181600"/>
              <a:ext cx="3924301" cy="20764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l-PL" sz="1100" b="1">
                  <a:solidFill>
                    <a:schemeClr val="accent6">
                      <a:lumMod val="7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Nowe bądź inaczej nazwane pojęcia</a:t>
              </a:r>
            </a:p>
            <a:p>
              <a:r>
                <a:rPr lang="pl-PL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Błąd standardowy</a:t>
              </a:r>
              <a:r>
                <a:rPr lang="pl-PL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j</a:t>
              </a:r>
              <a:r>
                <a:rPr lang="pl-PL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est to niepewność (błąd) oszacowania średniej </a:t>
              </a:r>
              <a:endParaRPr lang="pl-PL" sz="1100" b="1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l-PL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l-PL" sz="16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𝒔_𝒙 ̅ =√((∑2_(𝒊=𝟏)^𝒏▒(𝒙_𝒊−¯𝒙)^𝟐 )/𝒏(𝒏−𝟏) )</a:t>
              </a:r>
              <a:r>
                <a:rPr lang="pl-PL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</a:t>
              </a:r>
              <a:r>
                <a:rPr lang="pl-PL" sz="14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𝒔_𝒙 ̅ =𝒔/√𝒏</a:t>
              </a:r>
              <a:endParaRPr lang="pl-PL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pl-PL" sz="800" b="1"/>
            </a:p>
            <a:p>
              <a:r>
                <a:rPr lang="pl-PL" sz="1100" b="1"/>
                <a:t>Tryb </a:t>
              </a:r>
              <a:r>
                <a:rPr lang="pl-PL" sz="1100"/>
                <a:t>- dominanta, </a:t>
              </a:r>
            </a:p>
            <a:p>
              <a:r>
                <a:rPr lang="pl-PL" sz="1100"/>
                <a:t>jesli Excel</a:t>
              </a:r>
              <a:r>
                <a:rPr lang="pl-PL" sz="1100" baseline="0"/>
                <a:t> poda tu wartość #N/D!  oznacza to, że zmienna nie ma dominany.</a:t>
              </a:r>
            </a:p>
            <a:p>
              <a:r>
                <a:rPr lang="pl-PL" sz="1100" b="1" baseline="0"/>
                <a:t>Zakres</a:t>
              </a:r>
              <a:r>
                <a:rPr lang="pl-PL" sz="1100" baseline="0"/>
                <a:t> - inaczej </a:t>
              </a:r>
              <a:r>
                <a:rPr lang="pl-PL" sz="1100" b="1" baseline="0"/>
                <a:t>rozstęp=max-min</a:t>
              </a:r>
              <a:endParaRPr lang="pl-PL" sz="1100" b="1"/>
            </a:p>
          </xdr:txBody>
        </xdr:sp>
      </mc:Fallback>
    </mc:AlternateContent>
    <xdr:clientData/>
  </xdr:twoCellAnchor>
  <xdr:twoCellAnchor>
    <xdr:from>
      <xdr:col>6</xdr:col>
      <xdr:colOff>438149</xdr:colOff>
      <xdr:row>18</xdr:row>
      <xdr:rowOff>114300</xdr:rowOff>
    </xdr:from>
    <xdr:to>
      <xdr:col>10</xdr:col>
      <xdr:colOff>857249</xdr:colOff>
      <xdr:row>27</xdr:row>
      <xdr:rowOff>123826</xdr:rowOff>
    </xdr:to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xmlns="" id="{3A4A1060-EB85-4612-9AF9-02003FF78AA0}"/>
            </a:ext>
          </a:extLst>
        </xdr:cNvPr>
        <xdr:cNvSpPr txBox="1"/>
      </xdr:nvSpPr>
      <xdr:spPr>
        <a:xfrm>
          <a:off x="4324349" y="3448050"/>
          <a:ext cx="3933825" cy="1647826"/>
        </a:xfrm>
        <a:prstGeom prst="rect">
          <a:avLst/>
        </a:prstGeom>
        <a:solidFill>
          <a:schemeClr val="lt1"/>
        </a:solidFill>
        <a:ln w="1905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200" b="1">
              <a:solidFill>
                <a:schemeClr val="accent6">
                  <a:lumMod val="75000"/>
                </a:schemeClr>
              </a:solidFill>
            </a:rPr>
            <a:t>Ćwiczenie</a:t>
          </a:r>
        </a:p>
        <a:p>
          <a:r>
            <a:rPr lang="pl-PL" sz="1200"/>
            <a:t>Wykorzystując narzędzie</a:t>
          </a:r>
          <a:r>
            <a:rPr lang="pl-PL" sz="1200" baseline="0"/>
            <a:t> </a:t>
          </a:r>
          <a:r>
            <a:rPr lang="pl-PL" sz="1200" b="1" baseline="0"/>
            <a:t>Statystyka opisowa </a:t>
          </a:r>
          <a:r>
            <a:rPr lang="pl-PL" sz="1200" baseline="0"/>
            <a:t>z modułu </a:t>
          </a:r>
          <a:r>
            <a:rPr lang="pl-PL" sz="1200" b="1" baseline="0"/>
            <a:t>Analiza danych </a:t>
          </a:r>
          <a:r>
            <a:rPr lang="pl-PL" sz="1200" baseline="0"/>
            <a:t>(prawa strona wstążki Dane,  aktywacja - patrz arkusz 10 - szereg rozdzialczy) oblicz podstawowe parametry dla:</a:t>
          </a:r>
        </a:p>
        <a:p>
          <a:r>
            <a:rPr lang="pl-PL" sz="1200" b="1" baseline="0">
              <a:solidFill>
                <a:schemeClr val="accent6">
                  <a:lumMod val="75000"/>
                </a:schemeClr>
              </a:solidFill>
            </a:rPr>
            <a:t>1. </a:t>
          </a:r>
          <a:r>
            <a:rPr lang="pl-PL" sz="1200" baseline="0"/>
            <a:t>danych A (wstaw jako zakres wejściowy komórkę   </a:t>
          </a:r>
          <a:r>
            <a:rPr lang="pl-PL" sz="1200" b="1" baseline="0"/>
            <a:t>C3</a:t>
          </a:r>
          <a:r>
            <a:rPr lang="pl-PL" sz="1200" baseline="0"/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200" b="1" baseline="0">
              <a:solidFill>
                <a:schemeClr val="accent6">
                  <a:lumMod val="75000"/>
                </a:schemeClr>
              </a:solidFill>
            </a:rPr>
            <a:t>2. </a:t>
          </a:r>
          <a:r>
            <a:rPr lang="pl-PL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danych B (wstaw jako zakres wejściowy komórkę   </a:t>
          </a: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H3</a:t>
          </a:r>
          <a:r>
            <a:rPr lang="pl-PL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200" b="1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pl-PL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Spróbuj zinterpretować  uzyskane informacje.</a:t>
          </a:r>
          <a:endParaRPr lang="pl-PL" sz="1200">
            <a:effectLst/>
          </a:endParaRPr>
        </a:p>
        <a:p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R33"/>
  <sheetViews>
    <sheetView topLeftCell="A19" workbookViewId="0">
      <selection activeCell="J29" sqref="J29"/>
    </sheetView>
  </sheetViews>
  <sheetFormatPr defaultRowHeight="13.2" x14ac:dyDescent="0.25"/>
  <cols>
    <col min="1" max="1" width="20.5546875" customWidth="1"/>
    <col min="2" max="2" width="2.6640625" customWidth="1"/>
    <col min="3" max="3" width="12.6640625" customWidth="1"/>
    <col min="5" max="5" width="7" customWidth="1"/>
    <col min="6" max="7" width="13.5546875" customWidth="1"/>
    <col min="10" max="10" width="7.109375" customWidth="1"/>
    <col min="11" max="11" width="12.109375" customWidth="1"/>
  </cols>
  <sheetData>
    <row r="1" spans="1:18" ht="26.25" customHeight="1" x14ac:dyDescent="0.4">
      <c r="A1" s="74" t="s">
        <v>168</v>
      </c>
      <c r="C1" s="117" t="s">
        <v>169</v>
      </c>
      <c r="D1" s="75"/>
      <c r="E1" s="75"/>
      <c r="F1" s="75"/>
      <c r="G1" s="117" t="s">
        <v>170</v>
      </c>
      <c r="H1" s="75"/>
      <c r="I1" s="75"/>
      <c r="J1" s="75"/>
      <c r="K1" s="75"/>
      <c r="L1" s="75"/>
      <c r="M1" s="75"/>
      <c r="N1" s="117" t="s">
        <v>171</v>
      </c>
    </row>
    <row r="2" spans="1:18" ht="13.8" x14ac:dyDescent="0.25">
      <c r="A2" s="76" t="s">
        <v>178</v>
      </c>
    </row>
    <row r="3" spans="1:18" ht="13.8" x14ac:dyDescent="0.25">
      <c r="C3" s="77">
        <v>190</v>
      </c>
      <c r="E3" s="116" t="s">
        <v>223</v>
      </c>
      <c r="F3" s="77">
        <v>211</v>
      </c>
      <c r="G3" s="77">
        <v>191</v>
      </c>
      <c r="H3" s="77">
        <v>195</v>
      </c>
      <c r="J3" s="116" t="s">
        <v>223</v>
      </c>
      <c r="K3" s="77">
        <v>224</v>
      </c>
      <c r="L3" s="77">
        <v>207</v>
      </c>
      <c r="M3" s="77">
        <v>226</v>
      </c>
      <c r="N3" s="77">
        <v>219</v>
      </c>
      <c r="O3" s="77">
        <v>166</v>
      </c>
      <c r="P3" s="77">
        <v>223</v>
      </c>
      <c r="Q3" s="77">
        <v>193</v>
      </c>
      <c r="R3" s="77">
        <v>170</v>
      </c>
    </row>
    <row r="4" spans="1:18" ht="13.8" x14ac:dyDescent="0.25">
      <c r="C4" s="77">
        <v>204</v>
      </c>
      <c r="E4" s="116" t="s">
        <v>223</v>
      </c>
      <c r="F4" s="77">
        <v>196</v>
      </c>
      <c r="G4" s="77">
        <v>228</v>
      </c>
      <c r="H4" s="120">
        <v>206</v>
      </c>
      <c r="J4" s="116" t="s">
        <v>223</v>
      </c>
      <c r="K4" s="77">
        <v>210</v>
      </c>
      <c r="L4" s="77">
        <v>233</v>
      </c>
      <c r="M4" s="77">
        <v>223</v>
      </c>
      <c r="N4" s="77">
        <v>249</v>
      </c>
      <c r="O4" s="77">
        <v>223</v>
      </c>
      <c r="P4" s="77">
        <v>217</v>
      </c>
      <c r="Q4" s="77">
        <v>202</v>
      </c>
      <c r="R4" s="77">
        <v>239</v>
      </c>
    </row>
    <row r="5" spans="1:18" ht="13.8" x14ac:dyDescent="0.25">
      <c r="C5" s="77">
        <v>192</v>
      </c>
      <c r="E5" s="116" t="s">
        <v>223</v>
      </c>
      <c r="F5" s="77">
        <v>198</v>
      </c>
      <c r="G5" s="77">
        <v>231</v>
      </c>
      <c r="H5" s="77">
        <v>201</v>
      </c>
      <c r="J5" s="116" t="s">
        <v>223</v>
      </c>
      <c r="K5" s="77">
        <v>218</v>
      </c>
      <c r="L5" s="77">
        <v>231</v>
      </c>
      <c r="M5" s="77">
        <v>230</v>
      </c>
      <c r="N5" s="77">
        <v>221</v>
      </c>
      <c r="O5" s="77">
        <v>222</v>
      </c>
      <c r="P5" s="77">
        <v>179</v>
      </c>
      <c r="Q5" s="77">
        <v>245</v>
      </c>
      <c r="R5" s="77">
        <v>173</v>
      </c>
    </row>
    <row r="6" spans="1:18" ht="13.8" x14ac:dyDescent="0.25">
      <c r="C6" s="77">
        <v>211</v>
      </c>
      <c r="E6" s="116" t="s">
        <v>223</v>
      </c>
      <c r="F6" s="77">
        <v>224</v>
      </c>
      <c r="G6" s="77"/>
      <c r="H6" s="77">
        <v>254</v>
      </c>
      <c r="J6" s="116" t="s">
        <v>223</v>
      </c>
      <c r="K6" s="77">
        <v>200</v>
      </c>
      <c r="L6" s="77">
        <v>195</v>
      </c>
      <c r="M6" s="77"/>
      <c r="N6" s="77">
        <v>221</v>
      </c>
      <c r="O6" s="77">
        <v>221</v>
      </c>
      <c r="P6" s="77">
        <v>197</v>
      </c>
      <c r="Q6" s="77">
        <v>189</v>
      </c>
      <c r="R6" s="77">
        <v>231</v>
      </c>
    </row>
    <row r="7" spans="1:18" ht="13.8" x14ac:dyDescent="0.25">
      <c r="C7" s="77">
        <v>235</v>
      </c>
      <c r="E7" s="116" t="s">
        <v>223</v>
      </c>
      <c r="F7" s="77">
        <v>168</v>
      </c>
      <c r="G7" s="77">
        <v>199</v>
      </c>
      <c r="H7" s="119">
        <v>245</v>
      </c>
      <c r="J7" s="116" t="s">
        <v>223</v>
      </c>
      <c r="K7" s="77">
        <v>229</v>
      </c>
      <c r="L7" s="77">
        <v>199</v>
      </c>
      <c r="M7" s="77">
        <v>222</v>
      </c>
      <c r="N7" s="77">
        <v>193</v>
      </c>
      <c r="O7" s="77">
        <v>217</v>
      </c>
      <c r="P7" s="77">
        <v>181</v>
      </c>
      <c r="Q7" s="77">
        <v>204</v>
      </c>
      <c r="R7" s="77">
        <v>246</v>
      </c>
    </row>
    <row r="8" spans="1:18" ht="13.8" x14ac:dyDescent="0.25">
      <c r="C8" s="77">
        <v>240</v>
      </c>
      <c r="E8" s="116" t="s">
        <v>223</v>
      </c>
      <c r="F8" s="77">
        <v>216</v>
      </c>
      <c r="G8" s="119">
        <v>245</v>
      </c>
      <c r="H8" s="77">
        <v>212</v>
      </c>
      <c r="J8" s="116" t="s">
        <v>223</v>
      </c>
      <c r="K8" s="77">
        <v>202</v>
      </c>
      <c r="L8" s="77">
        <v>241</v>
      </c>
      <c r="M8" s="77">
        <v>215</v>
      </c>
      <c r="N8" s="77">
        <v>199</v>
      </c>
      <c r="O8" s="77">
        <v>193</v>
      </c>
      <c r="P8" s="77">
        <v>223</v>
      </c>
      <c r="Q8" s="77">
        <v>233</v>
      </c>
      <c r="R8" s="77">
        <v>227</v>
      </c>
    </row>
    <row r="9" spans="1:18" ht="13.8" x14ac:dyDescent="0.25">
      <c r="C9" s="77">
        <v>211</v>
      </c>
      <c r="E9" s="116" t="s">
        <v>223</v>
      </c>
      <c r="F9" s="77">
        <v>217</v>
      </c>
      <c r="G9" s="119">
        <v>245</v>
      </c>
      <c r="H9" s="120">
        <v>206</v>
      </c>
      <c r="J9" s="116" t="s">
        <v>223</v>
      </c>
      <c r="K9" s="77">
        <v>252</v>
      </c>
      <c r="L9" s="77">
        <v>172</v>
      </c>
      <c r="M9" s="77">
        <v>225</v>
      </c>
      <c r="N9" s="77">
        <v>223</v>
      </c>
      <c r="O9" s="77">
        <v>206</v>
      </c>
      <c r="P9" s="77"/>
      <c r="Q9" s="77">
        <v>214</v>
      </c>
      <c r="R9" s="77">
        <v>210</v>
      </c>
    </row>
    <row r="10" spans="1:18" ht="13.8" x14ac:dyDescent="0.25">
      <c r="C10" s="77">
        <v>210</v>
      </c>
      <c r="E10" s="116" t="s">
        <v>223</v>
      </c>
      <c r="F10" s="120">
        <v>206</v>
      </c>
      <c r="G10" s="77">
        <v>182</v>
      </c>
      <c r="H10" s="77">
        <v>225</v>
      </c>
      <c r="J10" s="116" t="s">
        <v>223</v>
      </c>
      <c r="K10" s="77">
        <v>225</v>
      </c>
      <c r="L10" s="77">
        <v>196</v>
      </c>
      <c r="M10" s="77">
        <v>227</v>
      </c>
      <c r="N10" s="77">
        <v>210</v>
      </c>
      <c r="O10" s="77">
        <v>181</v>
      </c>
      <c r="P10" s="77">
        <v>205</v>
      </c>
      <c r="Q10" s="77">
        <v>180</v>
      </c>
      <c r="R10" s="77">
        <v>203</v>
      </c>
    </row>
    <row r="11" spans="1:18" ht="13.8" x14ac:dyDescent="0.25">
      <c r="C11" s="77">
        <v>216</v>
      </c>
      <c r="E11" s="116" t="s">
        <v>223</v>
      </c>
      <c r="F11" s="77">
        <v>243</v>
      </c>
      <c r="G11" s="120">
        <v>206</v>
      </c>
      <c r="H11" s="119">
        <v>245</v>
      </c>
      <c r="J11" s="116" t="s">
        <v>223</v>
      </c>
      <c r="K11" s="77">
        <v>199</v>
      </c>
      <c r="L11" s="77">
        <v>255</v>
      </c>
      <c r="M11" s="77">
        <v>229</v>
      </c>
      <c r="N11" s="77">
        <v>192</v>
      </c>
      <c r="O11" s="77">
        <v>178</v>
      </c>
      <c r="P11" s="77">
        <v>188</v>
      </c>
      <c r="Q11" s="77">
        <v>191</v>
      </c>
      <c r="R11" s="77">
        <v>199</v>
      </c>
    </row>
    <row r="12" spans="1:18" ht="13.8" x14ac:dyDescent="0.25">
      <c r="C12" s="77">
        <v>206</v>
      </c>
      <c r="E12" s="116" t="s">
        <v>223</v>
      </c>
      <c r="F12" s="77">
        <v>194</v>
      </c>
      <c r="G12" s="77">
        <v>205</v>
      </c>
      <c r="H12" s="77">
        <v>192</v>
      </c>
      <c r="J12" s="116" t="s">
        <v>223</v>
      </c>
      <c r="K12" s="77">
        <v>208</v>
      </c>
      <c r="L12" s="77">
        <v>191</v>
      </c>
      <c r="M12" s="77">
        <v>231</v>
      </c>
      <c r="N12" s="77">
        <v>228</v>
      </c>
      <c r="O12" s="77">
        <v>210</v>
      </c>
      <c r="P12" s="77">
        <v>243</v>
      </c>
      <c r="Q12" s="77">
        <v>209</v>
      </c>
      <c r="R12" s="77">
        <v>207</v>
      </c>
    </row>
    <row r="13" spans="1:18" ht="13.8" x14ac:dyDescent="0.25">
      <c r="C13" s="78">
        <v>207</v>
      </c>
      <c r="E13" s="116" t="s">
        <v>223</v>
      </c>
      <c r="F13" s="78">
        <v>232</v>
      </c>
      <c r="G13" s="78">
        <v>201</v>
      </c>
      <c r="H13" s="78">
        <v>194</v>
      </c>
      <c r="J13" s="116" t="s">
        <v>223</v>
      </c>
      <c r="K13" s="78">
        <v>212</v>
      </c>
      <c r="L13" s="63"/>
      <c r="M13" s="63"/>
      <c r="N13" s="63"/>
      <c r="O13" s="63"/>
      <c r="P13" s="63"/>
      <c r="Q13" s="63"/>
      <c r="R13" s="63"/>
    </row>
    <row r="15" spans="1:18" ht="30" customHeight="1" x14ac:dyDescent="0.25">
      <c r="C15" s="79" t="s">
        <v>172</v>
      </c>
      <c r="F15" s="79" t="s">
        <v>173</v>
      </c>
      <c r="K15" s="79" t="s">
        <v>174</v>
      </c>
    </row>
    <row r="16" spans="1:18" ht="15.6" x14ac:dyDescent="0.3">
      <c r="A16" s="121" t="s">
        <v>175</v>
      </c>
      <c r="C16" s="118"/>
      <c r="F16" s="118"/>
      <c r="K16" s="118"/>
    </row>
    <row r="17" spans="1:11" ht="15.6" x14ac:dyDescent="0.3">
      <c r="A17" s="121" t="s">
        <v>114</v>
      </c>
      <c r="C17" s="118"/>
      <c r="F17" s="118"/>
      <c r="K17" s="118"/>
    </row>
    <row r="18" spans="1:11" ht="15.6" x14ac:dyDescent="0.3">
      <c r="A18" s="121" t="s">
        <v>165</v>
      </c>
      <c r="C18" s="118"/>
      <c r="F18" s="118"/>
      <c r="K18" s="118"/>
    </row>
    <row r="19" spans="1:11" ht="15.6" x14ac:dyDescent="0.3">
      <c r="A19" s="121" t="s">
        <v>117</v>
      </c>
      <c r="C19" s="118"/>
      <c r="F19" s="118"/>
      <c r="K19" s="118"/>
    </row>
    <row r="20" spans="1:11" ht="15.6" x14ac:dyDescent="0.3">
      <c r="A20" s="121" t="s">
        <v>116</v>
      </c>
      <c r="C20" s="118"/>
      <c r="F20" s="118"/>
      <c r="K20" s="118"/>
    </row>
    <row r="21" spans="1:11" ht="24.75" customHeight="1" x14ac:dyDescent="0.3">
      <c r="A21" s="122" t="s">
        <v>224</v>
      </c>
      <c r="C21" s="118"/>
      <c r="F21" s="118"/>
      <c r="K21" s="118"/>
    </row>
    <row r="22" spans="1:11" ht="31.5" customHeight="1" x14ac:dyDescent="0.3">
      <c r="A22" s="122" t="s">
        <v>227</v>
      </c>
      <c r="C22" s="118"/>
      <c r="F22" s="118"/>
      <c r="K22" s="118"/>
    </row>
    <row r="25" spans="1:11" ht="17.399999999999999" x14ac:dyDescent="0.3">
      <c r="C25" s="74" t="s">
        <v>176</v>
      </c>
      <c r="F25" s="121" t="s">
        <v>175</v>
      </c>
      <c r="G25" s="118"/>
    </row>
    <row r="26" spans="1:11" ht="17.399999999999999" x14ac:dyDescent="0.3">
      <c r="C26" s="74" t="s">
        <v>177</v>
      </c>
      <c r="F26" s="121" t="s">
        <v>114</v>
      </c>
      <c r="G26" s="118"/>
    </row>
    <row r="27" spans="1:11" ht="15.6" x14ac:dyDescent="0.3">
      <c r="F27" s="121" t="s">
        <v>165</v>
      </c>
      <c r="G27" s="118"/>
    </row>
    <row r="28" spans="1:11" ht="15.6" x14ac:dyDescent="0.3">
      <c r="F28" s="121" t="s">
        <v>117</v>
      </c>
      <c r="G28" s="118"/>
    </row>
    <row r="29" spans="1:11" ht="15.6" x14ac:dyDescent="0.3">
      <c r="F29" s="121" t="s">
        <v>116</v>
      </c>
      <c r="G29" s="118"/>
    </row>
    <row r="30" spans="1:11" ht="24" customHeight="1" x14ac:dyDescent="0.3">
      <c r="F30" s="122" t="s">
        <v>224</v>
      </c>
      <c r="G30" s="118"/>
    </row>
    <row r="31" spans="1:11" ht="31.5" customHeight="1" x14ac:dyDescent="0.3">
      <c r="F31" s="122" t="s">
        <v>227</v>
      </c>
      <c r="G31" s="118"/>
    </row>
    <row r="32" spans="1:11" ht="31.2" x14ac:dyDescent="0.3">
      <c r="F32" s="122" t="s">
        <v>225</v>
      </c>
      <c r="G32" s="118"/>
    </row>
    <row r="33" spans="6:7" ht="31.2" x14ac:dyDescent="0.3">
      <c r="F33" s="122" t="s">
        <v>226</v>
      </c>
      <c r="G33" s="118"/>
    </row>
  </sheetData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0"/>
  <dimension ref="A1:D50"/>
  <sheetViews>
    <sheetView topLeftCell="B1" workbookViewId="0">
      <selection activeCell="D3" sqref="D3"/>
    </sheetView>
  </sheetViews>
  <sheetFormatPr defaultRowHeight="13.2" x14ac:dyDescent="0.25"/>
  <cols>
    <col min="1" max="1" width="28.109375" bestFit="1" customWidth="1"/>
    <col min="2" max="2" width="13.5546875" bestFit="1" customWidth="1"/>
    <col min="3" max="3" width="7.44140625" bestFit="1" customWidth="1"/>
    <col min="4" max="4" width="14.33203125" bestFit="1" customWidth="1"/>
  </cols>
  <sheetData>
    <row r="1" spans="1:4" x14ac:dyDescent="0.25">
      <c r="A1" s="113" t="s">
        <v>0</v>
      </c>
      <c r="B1" s="113" t="s">
        <v>1</v>
      </c>
      <c r="C1" s="114" t="s">
        <v>2</v>
      </c>
      <c r="D1" s="115" t="s">
        <v>3</v>
      </c>
    </row>
    <row r="2" spans="1:4" x14ac:dyDescent="0.25">
      <c r="A2" s="112" t="s">
        <v>4</v>
      </c>
      <c r="B2" s="112" t="s">
        <v>5</v>
      </c>
      <c r="C2" s="106">
        <v>6</v>
      </c>
      <c r="D2" s="111"/>
    </row>
    <row r="3" spans="1:4" x14ac:dyDescent="0.25">
      <c r="A3" s="112" t="s">
        <v>6</v>
      </c>
      <c r="B3" s="112" t="s">
        <v>7</v>
      </c>
      <c r="C3" s="106">
        <v>2</v>
      </c>
      <c r="D3" s="111"/>
    </row>
    <row r="4" spans="1:4" x14ac:dyDescent="0.25">
      <c r="A4" s="112" t="s">
        <v>8</v>
      </c>
      <c r="B4" s="112" t="s">
        <v>9</v>
      </c>
      <c r="C4" s="106">
        <v>5</v>
      </c>
      <c r="D4" s="111"/>
    </row>
    <row r="5" spans="1:4" x14ac:dyDescent="0.25">
      <c r="A5" s="112" t="s">
        <v>10</v>
      </c>
      <c r="B5" s="112" t="s">
        <v>11</v>
      </c>
      <c r="C5" s="106">
        <v>6</v>
      </c>
      <c r="D5" s="111"/>
    </row>
    <row r="6" spans="1:4" x14ac:dyDescent="0.25">
      <c r="A6" s="112" t="s">
        <v>12</v>
      </c>
      <c r="B6" s="112" t="s">
        <v>13</v>
      </c>
      <c r="C6" s="106">
        <v>4</v>
      </c>
      <c r="D6" s="111"/>
    </row>
    <row r="7" spans="1:4" x14ac:dyDescent="0.25">
      <c r="A7" s="112" t="s">
        <v>14</v>
      </c>
      <c r="B7" s="112" t="s">
        <v>15</v>
      </c>
      <c r="C7" s="106">
        <v>5</v>
      </c>
      <c r="D7" s="111"/>
    </row>
    <row r="8" spans="1:4" x14ac:dyDescent="0.25">
      <c r="A8" s="112" t="s">
        <v>16</v>
      </c>
      <c r="B8" s="112" t="s">
        <v>17</v>
      </c>
      <c r="C8" s="106">
        <v>6</v>
      </c>
      <c r="D8" s="111"/>
    </row>
    <row r="9" spans="1:4" x14ac:dyDescent="0.25">
      <c r="A9" s="112" t="s">
        <v>18</v>
      </c>
      <c r="B9" s="112" t="s">
        <v>7</v>
      </c>
      <c r="C9" s="106">
        <v>2</v>
      </c>
      <c r="D9" s="111"/>
    </row>
    <row r="10" spans="1:4" x14ac:dyDescent="0.25">
      <c r="A10" s="112" t="s">
        <v>19</v>
      </c>
      <c r="B10" s="112" t="s">
        <v>20</v>
      </c>
      <c r="C10" s="106">
        <v>2</v>
      </c>
      <c r="D10" s="111"/>
    </row>
    <row r="11" spans="1:4" x14ac:dyDescent="0.25">
      <c r="A11" s="112" t="s">
        <v>21</v>
      </c>
      <c r="B11" s="112" t="s">
        <v>22</v>
      </c>
      <c r="C11" s="106">
        <v>5</v>
      </c>
      <c r="D11" s="111"/>
    </row>
    <row r="12" spans="1:4" x14ac:dyDescent="0.25">
      <c r="A12" s="112" t="s">
        <v>23</v>
      </c>
      <c r="B12" s="112" t="s">
        <v>24</v>
      </c>
      <c r="C12" s="106">
        <v>4</v>
      </c>
      <c r="D12" s="111"/>
    </row>
    <row r="13" spans="1:4" x14ac:dyDescent="0.25">
      <c r="A13" s="112" t="s">
        <v>25</v>
      </c>
      <c r="B13" s="112" t="s">
        <v>26</v>
      </c>
      <c r="C13" s="106">
        <v>4</v>
      </c>
      <c r="D13" s="111"/>
    </row>
    <row r="14" spans="1:4" x14ac:dyDescent="0.25">
      <c r="A14" s="112" t="s">
        <v>27</v>
      </c>
      <c r="B14" s="112" t="s">
        <v>28</v>
      </c>
      <c r="C14" s="106">
        <v>2</v>
      </c>
      <c r="D14" s="111"/>
    </row>
    <row r="15" spans="1:4" x14ac:dyDescent="0.25">
      <c r="A15" s="112" t="s">
        <v>29</v>
      </c>
      <c r="B15" s="112" t="s">
        <v>30</v>
      </c>
      <c r="C15" s="106">
        <v>6</v>
      </c>
      <c r="D15" s="111"/>
    </row>
    <row r="16" spans="1:4" x14ac:dyDescent="0.25">
      <c r="A16" s="112" t="s">
        <v>31</v>
      </c>
      <c r="B16" s="112" t="s">
        <v>32</v>
      </c>
      <c r="C16" s="106">
        <v>5</v>
      </c>
      <c r="D16" s="111"/>
    </row>
    <row r="17" spans="1:4" x14ac:dyDescent="0.25">
      <c r="A17" s="112" t="s">
        <v>33</v>
      </c>
      <c r="B17" s="112" t="s">
        <v>34</v>
      </c>
      <c r="C17" s="106">
        <v>5</v>
      </c>
      <c r="D17" s="111"/>
    </row>
    <row r="18" spans="1:4" x14ac:dyDescent="0.25">
      <c r="A18" s="112" t="s">
        <v>35</v>
      </c>
      <c r="B18" s="112" t="s">
        <v>17</v>
      </c>
      <c r="C18" s="106">
        <v>2</v>
      </c>
      <c r="D18" s="111"/>
    </row>
    <row r="19" spans="1:4" x14ac:dyDescent="0.25">
      <c r="A19" s="112" t="s">
        <v>36</v>
      </c>
      <c r="B19" s="112" t="s">
        <v>37</v>
      </c>
      <c r="C19" s="106">
        <v>3</v>
      </c>
      <c r="D19" s="111"/>
    </row>
    <row r="20" spans="1:4" x14ac:dyDescent="0.25">
      <c r="A20" s="112" t="s">
        <v>38</v>
      </c>
      <c r="B20" s="112" t="s">
        <v>39</v>
      </c>
      <c r="C20" s="106">
        <v>2</v>
      </c>
      <c r="D20" s="111"/>
    </row>
    <row r="21" spans="1:4" x14ac:dyDescent="0.25">
      <c r="A21" s="112" t="s">
        <v>40</v>
      </c>
      <c r="B21" s="112" t="s">
        <v>41</v>
      </c>
      <c r="C21" s="106">
        <v>2</v>
      </c>
      <c r="D21" s="111"/>
    </row>
    <row r="22" spans="1:4" x14ac:dyDescent="0.25">
      <c r="A22" s="112" t="s">
        <v>42</v>
      </c>
      <c r="B22" s="112" t="s">
        <v>43</v>
      </c>
      <c r="C22" s="106">
        <v>2</v>
      </c>
      <c r="D22" s="111"/>
    </row>
    <row r="23" spans="1:4" x14ac:dyDescent="0.25">
      <c r="A23" s="112" t="s">
        <v>44</v>
      </c>
      <c r="B23" s="112" t="s">
        <v>45</v>
      </c>
      <c r="C23" s="106">
        <v>2</v>
      </c>
      <c r="D23" s="111"/>
    </row>
    <row r="24" spans="1:4" x14ac:dyDescent="0.25">
      <c r="A24" s="112" t="s">
        <v>46</v>
      </c>
      <c r="B24" s="112" t="s">
        <v>47</v>
      </c>
      <c r="C24" s="106">
        <v>1</v>
      </c>
      <c r="D24" s="111"/>
    </row>
    <row r="25" spans="1:4" x14ac:dyDescent="0.25">
      <c r="A25" s="112" t="s">
        <v>48</v>
      </c>
      <c r="B25" s="112" t="s">
        <v>28</v>
      </c>
      <c r="C25" s="106">
        <v>5</v>
      </c>
      <c r="D25" s="111"/>
    </row>
    <row r="26" spans="1:4" x14ac:dyDescent="0.25">
      <c r="A26" s="112" t="s">
        <v>49</v>
      </c>
      <c r="B26" s="112" t="s">
        <v>50</v>
      </c>
      <c r="C26" s="106">
        <v>3</v>
      </c>
      <c r="D26" s="111"/>
    </row>
    <row r="27" spans="1:4" x14ac:dyDescent="0.25">
      <c r="A27" s="112" t="s">
        <v>51</v>
      </c>
      <c r="B27" s="112" t="s">
        <v>52</v>
      </c>
      <c r="C27" s="106">
        <v>4</v>
      </c>
      <c r="D27" s="111"/>
    </row>
    <row r="28" spans="1:4" x14ac:dyDescent="0.25">
      <c r="A28" s="112" t="s">
        <v>53</v>
      </c>
      <c r="B28" s="112" t="s">
        <v>54</v>
      </c>
      <c r="C28" s="106">
        <v>6</v>
      </c>
      <c r="D28" s="111"/>
    </row>
    <row r="29" spans="1:4" x14ac:dyDescent="0.25">
      <c r="A29" s="112" t="s">
        <v>55</v>
      </c>
      <c r="B29" s="112" t="s">
        <v>56</v>
      </c>
      <c r="C29" s="106">
        <v>4</v>
      </c>
      <c r="D29" s="111"/>
    </row>
    <row r="30" spans="1:4" x14ac:dyDescent="0.25">
      <c r="A30" s="112" t="s">
        <v>57</v>
      </c>
      <c r="B30" s="112" t="s">
        <v>58</v>
      </c>
      <c r="C30" s="106">
        <v>3</v>
      </c>
      <c r="D30" s="111"/>
    </row>
    <row r="31" spans="1:4" x14ac:dyDescent="0.25">
      <c r="A31" s="112" t="s">
        <v>59</v>
      </c>
      <c r="B31" s="112" t="s">
        <v>60</v>
      </c>
      <c r="C31" s="106">
        <v>4</v>
      </c>
      <c r="D31" s="111"/>
    </row>
    <row r="32" spans="1:4" x14ac:dyDescent="0.25">
      <c r="A32" s="112" t="s">
        <v>61</v>
      </c>
      <c r="B32" s="112" t="s">
        <v>43</v>
      </c>
      <c r="C32" s="106">
        <v>3</v>
      </c>
      <c r="D32" s="111"/>
    </row>
    <row r="33" spans="1:4" x14ac:dyDescent="0.25">
      <c r="A33" s="112" t="s">
        <v>62</v>
      </c>
      <c r="B33" s="112" t="s">
        <v>63</v>
      </c>
      <c r="C33" s="106">
        <v>2</v>
      </c>
      <c r="D33" s="111"/>
    </row>
    <row r="34" spans="1:4" x14ac:dyDescent="0.25">
      <c r="A34" s="112" t="s">
        <v>64</v>
      </c>
      <c r="B34" s="112" t="s">
        <v>65</v>
      </c>
      <c r="C34" s="106">
        <v>3</v>
      </c>
      <c r="D34" s="111"/>
    </row>
    <row r="35" spans="1:4" x14ac:dyDescent="0.25">
      <c r="A35" s="112" t="s">
        <v>66</v>
      </c>
      <c r="B35" s="112" t="s">
        <v>63</v>
      </c>
      <c r="C35" s="106">
        <v>3</v>
      </c>
      <c r="D35" s="111"/>
    </row>
    <row r="36" spans="1:4" x14ac:dyDescent="0.25">
      <c r="A36" s="112" t="s">
        <v>67</v>
      </c>
      <c r="B36" s="112" t="s">
        <v>68</v>
      </c>
      <c r="C36" s="106">
        <v>3</v>
      </c>
      <c r="D36" s="111"/>
    </row>
    <row r="37" spans="1:4" x14ac:dyDescent="0.25">
      <c r="A37" s="112" t="s">
        <v>69</v>
      </c>
      <c r="B37" s="112" t="s">
        <v>70</v>
      </c>
      <c r="C37" s="106">
        <v>4</v>
      </c>
      <c r="D37" s="111"/>
    </row>
    <row r="38" spans="1:4" x14ac:dyDescent="0.25">
      <c r="A38" s="112" t="s">
        <v>71</v>
      </c>
      <c r="B38" s="112" t="s">
        <v>72</v>
      </c>
      <c r="C38" s="106">
        <v>4</v>
      </c>
      <c r="D38" s="111"/>
    </row>
    <row r="39" spans="1:4" x14ac:dyDescent="0.25">
      <c r="A39" s="112" t="s">
        <v>73</v>
      </c>
      <c r="B39" s="112" t="s">
        <v>74</v>
      </c>
      <c r="C39" s="106">
        <v>6</v>
      </c>
      <c r="D39" s="111"/>
    </row>
    <row r="40" spans="1:4" x14ac:dyDescent="0.25">
      <c r="A40" s="112" t="s">
        <v>75</v>
      </c>
      <c r="B40" s="112" t="s">
        <v>15</v>
      </c>
      <c r="C40" s="106">
        <v>2</v>
      </c>
      <c r="D40" s="111"/>
    </row>
    <row r="41" spans="1:4" x14ac:dyDescent="0.25">
      <c r="A41" s="112" t="s">
        <v>76</v>
      </c>
      <c r="B41" s="112" t="s">
        <v>77</v>
      </c>
      <c r="C41" s="106">
        <v>4</v>
      </c>
      <c r="D41" s="111"/>
    </row>
    <row r="42" spans="1:4" x14ac:dyDescent="0.25">
      <c r="A42" s="112" t="s">
        <v>78</v>
      </c>
      <c r="B42" s="112" t="s">
        <v>79</v>
      </c>
      <c r="C42" s="106">
        <v>5</v>
      </c>
      <c r="D42" s="111"/>
    </row>
    <row r="43" spans="1:4" x14ac:dyDescent="0.25">
      <c r="A43" s="112" t="s">
        <v>80</v>
      </c>
      <c r="B43" s="112" t="s">
        <v>81</v>
      </c>
      <c r="C43" s="106">
        <v>6</v>
      </c>
      <c r="D43" s="111"/>
    </row>
    <row r="44" spans="1:4" x14ac:dyDescent="0.25">
      <c r="A44" s="112" t="s">
        <v>82</v>
      </c>
      <c r="B44" s="112" t="s">
        <v>83</v>
      </c>
      <c r="C44" s="106">
        <v>6</v>
      </c>
      <c r="D44" s="111"/>
    </row>
    <row r="45" spans="1:4" x14ac:dyDescent="0.25">
      <c r="A45" s="112" t="s">
        <v>84</v>
      </c>
      <c r="B45" s="112" t="s">
        <v>72</v>
      </c>
      <c r="C45" s="106">
        <v>6</v>
      </c>
      <c r="D45" s="111"/>
    </row>
    <row r="46" spans="1:4" x14ac:dyDescent="0.25">
      <c r="A46" s="112" t="s">
        <v>85</v>
      </c>
      <c r="B46" s="112" t="s">
        <v>17</v>
      </c>
      <c r="C46" s="106">
        <v>6</v>
      </c>
      <c r="D46" s="111"/>
    </row>
    <row r="47" spans="1:4" x14ac:dyDescent="0.25">
      <c r="A47" s="112" t="s">
        <v>78</v>
      </c>
      <c r="B47" s="112" t="s">
        <v>77</v>
      </c>
      <c r="C47" s="106">
        <v>6</v>
      </c>
      <c r="D47" s="111"/>
    </row>
    <row r="48" spans="1:4" x14ac:dyDescent="0.25">
      <c r="A48" s="112" t="s">
        <v>86</v>
      </c>
      <c r="B48" s="112" t="s">
        <v>87</v>
      </c>
      <c r="C48" s="106">
        <v>6</v>
      </c>
      <c r="D48" s="111"/>
    </row>
    <row r="49" spans="1:4" x14ac:dyDescent="0.25">
      <c r="A49" s="112" t="s">
        <v>88</v>
      </c>
      <c r="B49" s="112" t="s">
        <v>89</v>
      </c>
      <c r="C49" s="106">
        <v>6</v>
      </c>
      <c r="D49" s="111"/>
    </row>
    <row r="50" spans="1:4" x14ac:dyDescent="0.25">
      <c r="A50" s="112" t="s">
        <v>90</v>
      </c>
      <c r="B50" s="112" t="s">
        <v>56</v>
      </c>
      <c r="C50" s="106">
        <v>6</v>
      </c>
      <c r="D50" s="111"/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7"/>
  <dimension ref="A1:G22"/>
  <sheetViews>
    <sheetView topLeftCell="A7" workbookViewId="0">
      <selection activeCell="I16" sqref="I16"/>
    </sheetView>
  </sheetViews>
  <sheetFormatPr defaultRowHeight="13.2" x14ac:dyDescent="0.25"/>
  <cols>
    <col min="1" max="1" width="15.33203125" bestFit="1" customWidth="1"/>
    <col min="2" max="2" width="10.109375" customWidth="1"/>
    <col min="3" max="3" width="11.6640625" customWidth="1"/>
    <col min="4" max="4" width="9.6640625" customWidth="1"/>
    <col min="5" max="5" width="16.5546875" customWidth="1"/>
    <col min="6" max="6" width="26.5546875" customWidth="1"/>
    <col min="7" max="7" width="27.88671875" customWidth="1"/>
  </cols>
  <sheetData>
    <row r="1" spans="1:7" x14ac:dyDescent="0.25">
      <c r="A1" s="1"/>
      <c r="B1" s="2"/>
      <c r="C1" s="2"/>
      <c r="D1" s="2"/>
      <c r="E1" s="2"/>
      <c r="F1" s="2"/>
      <c r="G1" s="2"/>
    </row>
    <row r="2" spans="1:7" ht="13.8" x14ac:dyDescent="0.25">
      <c r="A2" s="3" t="s">
        <v>215</v>
      </c>
      <c r="B2" s="3"/>
      <c r="C2" s="3"/>
      <c r="D2" s="3"/>
      <c r="E2" s="3"/>
      <c r="F2" s="3"/>
      <c r="G2" s="3"/>
    </row>
    <row r="3" spans="1:7" ht="13.8" x14ac:dyDescent="0.25">
      <c r="A3" s="109" t="s">
        <v>216</v>
      </c>
      <c r="B3" s="3"/>
      <c r="C3" s="3"/>
      <c r="D3" s="3"/>
      <c r="E3" s="3"/>
      <c r="F3" s="3"/>
      <c r="G3" s="3"/>
    </row>
    <row r="4" spans="1:7" ht="13.8" x14ac:dyDescent="0.25">
      <c r="A4" s="3"/>
      <c r="B4" s="3"/>
      <c r="C4" s="3"/>
      <c r="D4" s="3"/>
      <c r="E4" s="3"/>
      <c r="F4" s="3"/>
      <c r="G4" s="3"/>
    </row>
    <row r="5" spans="1:7" ht="13.8" x14ac:dyDescent="0.25">
      <c r="A5" s="3" t="s">
        <v>217</v>
      </c>
      <c r="B5" s="3"/>
      <c r="C5" s="3"/>
      <c r="D5" s="3"/>
      <c r="E5" s="3"/>
      <c r="F5" s="3"/>
      <c r="G5" s="3"/>
    </row>
    <row r="6" spans="1:7" ht="13.8" x14ac:dyDescent="0.25">
      <c r="A6" s="110" t="s">
        <v>218</v>
      </c>
      <c r="B6" s="3"/>
      <c r="C6" s="3"/>
      <c r="D6" s="3"/>
      <c r="E6" s="3"/>
      <c r="F6" s="3"/>
      <c r="G6" s="3"/>
    </row>
    <row r="7" spans="1:7" ht="13.8" x14ac:dyDescent="0.25">
      <c r="A7" s="3"/>
      <c r="B7" s="3"/>
      <c r="C7" s="3"/>
      <c r="D7" s="3"/>
      <c r="E7" s="3"/>
      <c r="F7" s="3"/>
      <c r="G7" s="3"/>
    </row>
    <row r="8" spans="1:7" ht="13.8" x14ac:dyDescent="0.25">
      <c r="A8" s="3" t="s">
        <v>219</v>
      </c>
      <c r="B8" s="3"/>
      <c r="C8" s="3"/>
      <c r="D8" s="3"/>
      <c r="E8" s="3"/>
      <c r="F8" s="3"/>
      <c r="G8" s="3"/>
    </row>
    <row r="9" spans="1:7" ht="13.8" x14ac:dyDescent="0.25">
      <c r="A9" s="110" t="s">
        <v>220</v>
      </c>
      <c r="B9" s="3"/>
      <c r="C9" s="3"/>
      <c r="D9" s="3"/>
      <c r="E9" s="3"/>
      <c r="F9" s="3"/>
      <c r="G9" s="3"/>
    </row>
    <row r="10" spans="1:7" ht="13.8" x14ac:dyDescent="0.25">
      <c r="A10" s="110"/>
      <c r="B10" s="3" t="s">
        <v>221</v>
      </c>
      <c r="C10" s="3"/>
      <c r="D10" s="3"/>
      <c r="E10" s="3"/>
      <c r="F10" s="3"/>
      <c r="G10" s="3"/>
    </row>
    <row r="11" spans="1:7" ht="13.8" x14ac:dyDescent="0.25">
      <c r="A11" s="110"/>
      <c r="B11" s="3" t="s">
        <v>222</v>
      </c>
      <c r="C11" s="3"/>
      <c r="D11" s="3"/>
      <c r="E11" s="3"/>
      <c r="F11" s="3"/>
      <c r="G11" s="3"/>
    </row>
    <row r="12" spans="1:7" ht="13.8" x14ac:dyDescent="0.25">
      <c r="A12" s="3"/>
      <c r="B12" s="3"/>
      <c r="C12" s="3"/>
      <c r="D12" s="3"/>
      <c r="E12" s="3"/>
      <c r="F12" s="3"/>
      <c r="G12" s="3"/>
    </row>
    <row r="13" spans="1:7" s="6" customFormat="1" ht="31.5" customHeight="1" x14ac:dyDescent="0.25">
      <c r="A13" s="4"/>
      <c r="B13" s="5" t="s">
        <v>91</v>
      </c>
      <c r="C13" s="5" t="s">
        <v>92</v>
      </c>
      <c r="D13" s="5" t="s">
        <v>93</v>
      </c>
      <c r="E13" s="5" t="s">
        <v>94</v>
      </c>
      <c r="F13" s="5" t="s">
        <v>213</v>
      </c>
      <c r="G13" s="5" t="s">
        <v>214</v>
      </c>
    </row>
    <row r="14" spans="1:7" ht="13.8" x14ac:dyDescent="0.25">
      <c r="A14" s="7" t="s">
        <v>95</v>
      </c>
      <c r="B14" s="8">
        <v>1</v>
      </c>
      <c r="C14" s="8"/>
      <c r="D14" s="8">
        <v>1</v>
      </c>
      <c r="E14" s="9">
        <v>925</v>
      </c>
      <c r="F14" s="8"/>
      <c r="G14" s="8"/>
    </row>
    <row r="15" spans="1:7" ht="13.8" x14ac:dyDescent="0.25">
      <c r="A15" s="7" t="s">
        <v>96</v>
      </c>
      <c r="B15" s="8">
        <v>4</v>
      </c>
      <c r="C15" s="8"/>
      <c r="D15" s="8">
        <v>3</v>
      </c>
      <c r="E15" s="9">
        <v>1200</v>
      </c>
      <c r="F15" s="8"/>
      <c r="G15" s="8"/>
    </row>
    <row r="16" spans="1:7" ht="13.8" x14ac:dyDescent="0.25">
      <c r="A16" s="7" t="s">
        <v>97</v>
      </c>
      <c r="B16" s="8">
        <v>5</v>
      </c>
      <c r="C16" s="8"/>
      <c r="D16" s="8">
        <v>3</v>
      </c>
      <c r="E16" s="9">
        <v>2000</v>
      </c>
      <c r="F16" s="8"/>
      <c r="G16" s="8"/>
    </row>
    <row r="17" spans="1:7" ht="13.8" x14ac:dyDescent="0.25">
      <c r="A17" s="7" t="s">
        <v>98</v>
      </c>
      <c r="B17" s="8">
        <v>3</v>
      </c>
      <c r="C17" s="8"/>
      <c r="D17" s="8">
        <v>2</v>
      </c>
      <c r="E17" s="9">
        <v>1178</v>
      </c>
      <c r="F17" s="8"/>
      <c r="G17" s="8"/>
    </row>
    <row r="18" spans="1:7" ht="13.8" x14ac:dyDescent="0.25">
      <c r="A18" s="7" t="s">
        <v>99</v>
      </c>
      <c r="B18" s="8">
        <v>2</v>
      </c>
      <c r="C18" s="8"/>
      <c r="D18" s="8">
        <v>2</v>
      </c>
      <c r="E18" s="9">
        <v>950</v>
      </c>
      <c r="F18" s="8"/>
      <c r="G18" s="8"/>
    </row>
    <row r="19" spans="1:7" ht="13.8" x14ac:dyDescent="0.25">
      <c r="A19" s="7" t="s">
        <v>100</v>
      </c>
      <c r="B19" s="8">
        <v>7</v>
      </c>
      <c r="C19" s="8"/>
      <c r="D19" s="8">
        <v>2</v>
      </c>
      <c r="E19" s="9">
        <v>1500</v>
      </c>
      <c r="F19" s="8"/>
      <c r="G19" s="8"/>
    </row>
    <row r="20" spans="1:7" ht="13.8" x14ac:dyDescent="0.25">
      <c r="A20" s="7" t="s">
        <v>101</v>
      </c>
      <c r="B20" s="8">
        <v>11</v>
      </c>
      <c r="C20" s="8"/>
      <c r="D20" s="8">
        <v>1</v>
      </c>
      <c r="E20" s="108">
        <v>1200</v>
      </c>
      <c r="F20" s="8"/>
      <c r="G20" s="8"/>
    </row>
    <row r="21" spans="1:7" ht="13.8" x14ac:dyDescent="0.25">
      <c r="A21" s="7" t="s">
        <v>102</v>
      </c>
      <c r="B21" s="8">
        <v>8</v>
      </c>
      <c r="C21" s="8"/>
      <c r="D21" s="8">
        <v>3</v>
      </c>
      <c r="E21" s="9">
        <v>1050</v>
      </c>
      <c r="F21" s="8"/>
      <c r="G21" s="8"/>
    </row>
    <row r="22" spans="1:7" ht="13.8" x14ac:dyDescent="0.25">
      <c r="A22" s="7" t="s">
        <v>103</v>
      </c>
      <c r="B22" s="8">
        <v>9</v>
      </c>
      <c r="C22" s="8"/>
      <c r="D22" s="8">
        <v>3</v>
      </c>
      <c r="E22" s="9">
        <v>1800</v>
      </c>
      <c r="F22" s="8"/>
      <c r="G22" s="8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2:L42"/>
  <sheetViews>
    <sheetView topLeftCell="A10" workbookViewId="0">
      <selection activeCell="G13" sqref="G13"/>
    </sheetView>
  </sheetViews>
  <sheetFormatPr defaultRowHeight="13.2" x14ac:dyDescent="0.25"/>
  <cols>
    <col min="1" max="1" width="25.88671875" customWidth="1"/>
    <col min="5" max="5" width="12.6640625" customWidth="1"/>
    <col min="6" max="6" width="13.6640625" customWidth="1"/>
    <col min="7" max="7" width="14.6640625" customWidth="1"/>
    <col min="11" max="11" width="7.33203125" customWidth="1"/>
    <col min="12" max="12" width="17.88671875" customWidth="1"/>
  </cols>
  <sheetData>
    <row r="2" spans="1:12" ht="13.8" x14ac:dyDescent="0.25">
      <c r="A2" s="36" t="s">
        <v>119</v>
      </c>
    </row>
    <row r="3" spans="1:12" ht="13.8" x14ac:dyDescent="0.25">
      <c r="A3" s="36" t="s">
        <v>243</v>
      </c>
    </row>
    <row r="4" spans="1:12" ht="13.8" x14ac:dyDescent="0.25">
      <c r="A4" s="36" t="s">
        <v>251</v>
      </c>
    </row>
    <row r="5" spans="1:12" ht="13.8" x14ac:dyDescent="0.25">
      <c r="A5" s="36" t="s">
        <v>252</v>
      </c>
    </row>
    <row r="6" spans="1:12" ht="13.8" x14ac:dyDescent="0.25">
      <c r="A6" s="36" t="s">
        <v>248</v>
      </c>
    </row>
    <row r="7" spans="1:12" ht="13.8" x14ac:dyDescent="0.25">
      <c r="A7" s="36"/>
    </row>
    <row r="8" spans="1:12" ht="14.4" thickBot="1" x14ac:dyDescent="0.3">
      <c r="A8" s="36"/>
    </row>
    <row r="9" spans="1:12" ht="40.799999999999997" thickTop="1" thickBot="1" x14ac:dyDescent="0.3">
      <c r="A9" s="37" t="s">
        <v>120</v>
      </c>
      <c r="B9" s="38" t="s">
        <v>121</v>
      </c>
      <c r="C9" s="39" t="s">
        <v>122</v>
      </c>
      <c r="D9" s="39" t="s">
        <v>123</v>
      </c>
      <c r="E9" s="40" t="s">
        <v>124</v>
      </c>
      <c r="F9" s="40" t="s">
        <v>125</v>
      </c>
      <c r="G9" s="40" t="s">
        <v>247</v>
      </c>
      <c r="J9" s="140"/>
      <c r="K9" s="141"/>
      <c r="L9" s="141"/>
    </row>
    <row r="10" spans="1:12" ht="16.2" thickTop="1" x14ac:dyDescent="0.3">
      <c r="A10" s="43" t="s">
        <v>127</v>
      </c>
      <c r="B10" s="44">
        <v>80</v>
      </c>
      <c r="C10" s="45">
        <v>1.7</v>
      </c>
      <c r="D10" s="45">
        <v>30</v>
      </c>
      <c r="E10" s="46">
        <f>B10/C10^2</f>
        <v>27.681660899653981</v>
      </c>
      <c r="F10" s="46"/>
      <c r="G10" s="46"/>
      <c r="J10" s="41" t="s">
        <v>126</v>
      </c>
      <c r="K10" s="41"/>
      <c r="L10" s="42"/>
    </row>
    <row r="11" spans="1:12" ht="15" x14ac:dyDescent="0.25">
      <c r="A11" s="49" t="s">
        <v>130</v>
      </c>
      <c r="B11" s="6">
        <v>50</v>
      </c>
      <c r="C11" s="50">
        <v>1.5</v>
      </c>
      <c r="D11" s="45">
        <v>45</v>
      </c>
      <c r="E11" s="46">
        <f t="shared" ref="E11:E39" si="0">B11/C11^2</f>
        <v>22.222222222222221</v>
      </c>
      <c r="F11" s="46"/>
      <c r="G11" s="46"/>
      <c r="J11" s="47" t="s">
        <v>128</v>
      </c>
      <c r="K11" s="47"/>
      <c r="L11" s="48" t="s">
        <v>129</v>
      </c>
    </row>
    <row r="12" spans="1:12" ht="15" x14ac:dyDescent="0.25">
      <c r="A12" s="49" t="s">
        <v>133</v>
      </c>
      <c r="B12" s="50">
        <v>100</v>
      </c>
      <c r="C12" s="51">
        <v>1.89</v>
      </c>
      <c r="D12" s="45">
        <v>22</v>
      </c>
      <c r="E12" s="46">
        <f t="shared" si="0"/>
        <v>27.994736989445986</v>
      </c>
      <c r="F12" s="46"/>
      <c r="G12" s="46"/>
      <c r="J12" s="47" t="s">
        <v>131</v>
      </c>
      <c r="K12" s="47"/>
      <c r="L12" s="48" t="s">
        <v>132</v>
      </c>
    </row>
    <row r="13" spans="1:12" ht="15" x14ac:dyDescent="0.25">
      <c r="A13" s="49" t="s">
        <v>136</v>
      </c>
      <c r="B13" s="50">
        <v>75</v>
      </c>
      <c r="C13" s="51">
        <v>1.7</v>
      </c>
      <c r="D13" s="45">
        <v>18</v>
      </c>
      <c r="E13" s="46">
        <f t="shared" si="0"/>
        <v>25.95155709342561</v>
      </c>
      <c r="F13" s="46"/>
      <c r="G13" s="46"/>
      <c r="J13" s="47" t="s">
        <v>134</v>
      </c>
      <c r="K13" s="47"/>
      <c r="L13" s="48" t="s">
        <v>135</v>
      </c>
    </row>
    <row r="14" spans="1:12" ht="15" x14ac:dyDescent="0.25">
      <c r="A14" s="49" t="s">
        <v>139</v>
      </c>
      <c r="B14" s="50">
        <v>96</v>
      </c>
      <c r="C14" s="51">
        <v>1.8</v>
      </c>
      <c r="D14" s="45">
        <v>66</v>
      </c>
      <c r="E14" s="46">
        <f t="shared" si="0"/>
        <v>29.629629629629626</v>
      </c>
      <c r="F14" s="46"/>
      <c r="G14" s="46"/>
      <c r="J14" s="47" t="s">
        <v>137</v>
      </c>
      <c r="K14" s="47"/>
      <c r="L14" s="48" t="s">
        <v>138</v>
      </c>
    </row>
    <row r="15" spans="1:12" x14ac:dyDescent="0.25">
      <c r="A15" s="49" t="s">
        <v>140</v>
      </c>
      <c r="B15" s="50">
        <v>80</v>
      </c>
      <c r="C15" s="51">
        <v>1.7</v>
      </c>
      <c r="D15" s="45">
        <v>17</v>
      </c>
      <c r="E15" s="46">
        <f t="shared" si="0"/>
        <v>27.681660899653981</v>
      </c>
      <c r="F15" s="46"/>
      <c r="G15" s="46"/>
    </row>
    <row r="16" spans="1:12" x14ac:dyDescent="0.25">
      <c r="A16" s="49" t="s">
        <v>141</v>
      </c>
      <c r="B16" s="50">
        <v>85</v>
      </c>
      <c r="C16" s="51">
        <v>1.82</v>
      </c>
      <c r="D16" s="45">
        <v>52</v>
      </c>
      <c r="E16" s="46">
        <f t="shared" si="0"/>
        <v>25.661152034778407</v>
      </c>
      <c r="F16" s="46"/>
      <c r="G16" s="46"/>
    </row>
    <row r="17" spans="1:7" x14ac:dyDescent="0.25">
      <c r="A17" s="49" t="s">
        <v>142</v>
      </c>
      <c r="B17" s="50">
        <v>55</v>
      </c>
      <c r="C17" s="51">
        <v>1.69</v>
      </c>
      <c r="D17" s="45">
        <v>40</v>
      </c>
      <c r="E17" s="46">
        <f t="shared" si="0"/>
        <v>19.257028815517668</v>
      </c>
      <c r="F17" s="46"/>
      <c r="G17" s="46"/>
    </row>
    <row r="18" spans="1:7" x14ac:dyDescent="0.25">
      <c r="A18" s="49" t="s">
        <v>143</v>
      </c>
      <c r="B18" s="50">
        <v>105</v>
      </c>
      <c r="C18" s="51">
        <v>1.8</v>
      </c>
      <c r="D18" s="45">
        <v>33</v>
      </c>
      <c r="E18" s="46">
        <f t="shared" si="0"/>
        <v>32.407407407407405</v>
      </c>
      <c r="F18" s="46"/>
      <c r="G18" s="46"/>
    </row>
    <row r="19" spans="1:7" x14ac:dyDescent="0.25">
      <c r="A19" s="49" t="s">
        <v>144</v>
      </c>
      <c r="B19" s="50">
        <v>99</v>
      </c>
      <c r="C19" s="51">
        <v>1.86</v>
      </c>
      <c r="D19" s="45">
        <v>22</v>
      </c>
      <c r="E19" s="46">
        <f t="shared" si="0"/>
        <v>28.616024973985429</v>
      </c>
      <c r="F19" s="46"/>
      <c r="G19" s="46"/>
    </row>
    <row r="20" spans="1:7" x14ac:dyDescent="0.25">
      <c r="A20" s="49" t="s">
        <v>145</v>
      </c>
      <c r="B20" s="50">
        <v>70</v>
      </c>
      <c r="C20" s="51">
        <v>1.76</v>
      </c>
      <c r="D20" s="45">
        <v>70</v>
      </c>
      <c r="E20" s="46">
        <f t="shared" si="0"/>
        <v>22.598140495867771</v>
      </c>
      <c r="F20" s="46"/>
      <c r="G20" s="46"/>
    </row>
    <row r="21" spans="1:7" x14ac:dyDescent="0.25">
      <c r="A21" s="49" t="s">
        <v>146</v>
      </c>
      <c r="B21" s="50">
        <v>70</v>
      </c>
      <c r="C21" s="51">
        <v>1.83</v>
      </c>
      <c r="D21" s="45">
        <v>34</v>
      </c>
      <c r="E21" s="46">
        <f t="shared" si="0"/>
        <v>20.902385858042937</v>
      </c>
      <c r="F21" s="46"/>
      <c r="G21" s="46"/>
    </row>
    <row r="22" spans="1:7" x14ac:dyDescent="0.25">
      <c r="A22" s="49" t="s">
        <v>147</v>
      </c>
      <c r="B22" s="50">
        <v>60</v>
      </c>
      <c r="C22" s="51">
        <v>1.65</v>
      </c>
      <c r="D22" s="45">
        <v>28</v>
      </c>
      <c r="E22" s="46">
        <f t="shared" si="0"/>
        <v>22.03856749311295</v>
      </c>
      <c r="F22" s="46"/>
      <c r="G22" s="46"/>
    </row>
    <row r="23" spans="1:7" x14ac:dyDescent="0.25">
      <c r="A23" s="49" t="s">
        <v>148</v>
      </c>
      <c r="B23" s="50">
        <v>99</v>
      </c>
      <c r="C23" s="51">
        <v>1.87</v>
      </c>
      <c r="D23" s="45">
        <v>19</v>
      </c>
      <c r="E23" s="46">
        <f t="shared" si="0"/>
        <v>28.310789556464293</v>
      </c>
      <c r="F23" s="46"/>
      <c r="G23" s="46"/>
    </row>
    <row r="24" spans="1:7" x14ac:dyDescent="0.25">
      <c r="A24" s="49" t="s">
        <v>149</v>
      </c>
      <c r="B24" s="50">
        <v>50</v>
      </c>
      <c r="C24" s="51">
        <v>1.7</v>
      </c>
      <c r="D24" s="45">
        <v>19</v>
      </c>
      <c r="E24" s="46">
        <f t="shared" si="0"/>
        <v>17.301038062283737</v>
      </c>
      <c r="F24" s="46"/>
      <c r="G24" s="46"/>
    </row>
    <row r="25" spans="1:7" x14ac:dyDescent="0.25">
      <c r="A25" s="49" t="s">
        <v>150</v>
      </c>
      <c r="B25" s="50">
        <v>87</v>
      </c>
      <c r="C25" s="51">
        <v>1.78</v>
      </c>
      <c r="D25" s="45">
        <v>45</v>
      </c>
      <c r="E25" s="46">
        <f t="shared" si="0"/>
        <v>27.458654210326976</v>
      </c>
      <c r="F25" s="46"/>
      <c r="G25" s="46"/>
    </row>
    <row r="26" spans="1:7" x14ac:dyDescent="0.25">
      <c r="A26" s="49" t="s">
        <v>151</v>
      </c>
      <c r="B26" s="50">
        <v>90</v>
      </c>
      <c r="C26" s="51">
        <v>1.8</v>
      </c>
      <c r="D26" s="45">
        <v>30</v>
      </c>
      <c r="E26" s="46">
        <f t="shared" si="0"/>
        <v>27.777777777777775</v>
      </c>
      <c r="F26" s="46"/>
      <c r="G26" s="46"/>
    </row>
    <row r="27" spans="1:7" x14ac:dyDescent="0.25">
      <c r="A27" s="49" t="s">
        <v>152</v>
      </c>
      <c r="B27" s="50">
        <v>91</v>
      </c>
      <c r="C27" s="51">
        <v>1.9</v>
      </c>
      <c r="D27" s="45">
        <v>19</v>
      </c>
      <c r="E27" s="46">
        <f t="shared" si="0"/>
        <v>25.207756232686982</v>
      </c>
      <c r="F27" s="46"/>
      <c r="G27" s="46"/>
    </row>
    <row r="28" spans="1:7" x14ac:dyDescent="0.25">
      <c r="A28" s="49" t="s">
        <v>153</v>
      </c>
      <c r="B28" s="50">
        <v>100</v>
      </c>
      <c r="C28" s="51">
        <v>1.75</v>
      </c>
      <c r="D28" s="45">
        <v>38</v>
      </c>
      <c r="E28" s="46">
        <f t="shared" si="0"/>
        <v>32.653061224489797</v>
      </c>
      <c r="F28" s="46"/>
      <c r="G28" s="46"/>
    </row>
    <row r="29" spans="1:7" x14ac:dyDescent="0.25">
      <c r="A29" s="49" t="s">
        <v>154</v>
      </c>
      <c r="B29" s="50">
        <v>89</v>
      </c>
      <c r="C29" s="51">
        <v>1.84</v>
      </c>
      <c r="D29" s="45">
        <v>26</v>
      </c>
      <c r="E29" s="46">
        <f t="shared" si="0"/>
        <v>26.287807183364837</v>
      </c>
      <c r="F29" s="46"/>
      <c r="G29" s="46"/>
    </row>
    <row r="30" spans="1:7" x14ac:dyDescent="0.25">
      <c r="A30" s="49" t="s">
        <v>155</v>
      </c>
      <c r="B30" s="50">
        <v>66</v>
      </c>
      <c r="C30" s="51">
        <v>1.77</v>
      </c>
      <c r="D30" s="45">
        <v>17</v>
      </c>
      <c r="E30" s="46">
        <f t="shared" si="0"/>
        <v>21.066743273005841</v>
      </c>
      <c r="F30" s="46"/>
      <c r="G30" s="46"/>
    </row>
    <row r="31" spans="1:7" x14ac:dyDescent="0.25">
      <c r="A31" s="49" t="s">
        <v>156</v>
      </c>
      <c r="B31" s="50">
        <v>79</v>
      </c>
      <c r="C31" s="51">
        <v>1.69</v>
      </c>
      <c r="D31" s="45">
        <v>38</v>
      </c>
      <c r="E31" s="46">
        <f t="shared" si="0"/>
        <v>27.660095935016283</v>
      </c>
      <c r="F31" s="46"/>
      <c r="G31" s="46"/>
    </row>
    <row r="32" spans="1:7" x14ac:dyDescent="0.25">
      <c r="A32" s="49" t="s">
        <v>157</v>
      </c>
      <c r="B32" s="50">
        <v>56</v>
      </c>
      <c r="C32" s="51">
        <v>1.7</v>
      </c>
      <c r="D32" s="45">
        <v>24</v>
      </c>
      <c r="E32" s="46">
        <f t="shared" si="0"/>
        <v>19.377162629757787</v>
      </c>
      <c r="F32" s="46"/>
      <c r="G32" s="46"/>
    </row>
    <row r="33" spans="1:7" x14ac:dyDescent="0.25">
      <c r="A33" s="49" t="s">
        <v>158</v>
      </c>
      <c r="B33" s="50">
        <v>97</v>
      </c>
      <c r="C33" s="51">
        <v>1.89</v>
      </c>
      <c r="D33" s="45">
        <v>59</v>
      </c>
      <c r="E33" s="46">
        <f t="shared" si="0"/>
        <v>27.154894879762605</v>
      </c>
      <c r="F33" s="46"/>
      <c r="G33" s="46"/>
    </row>
    <row r="34" spans="1:7" x14ac:dyDescent="0.25">
      <c r="A34" s="49" t="s">
        <v>159</v>
      </c>
      <c r="B34" s="50">
        <v>84</v>
      </c>
      <c r="C34" s="51">
        <v>1.84</v>
      </c>
      <c r="D34" s="45">
        <v>27</v>
      </c>
      <c r="E34" s="46">
        <f t="shared" si="0"/>
        <v>24.810964083175801</v>
      </c>
      <c r="F34" s="46"/>
      <c r="G34" s="46"/>
    </row>
    <row r="35" spans="1:7" x14ac:dyDescent="0.25">
      <c r="A35" s="49" t="s">
        <v>160</v>
      </c>
      <c r="B35" s="50">
        <v>110</v>
      </c>
      <c r="C35" s="51">
        <v>1.9</v>
      </c>
      <c r="D35" s="45">
        <v>34</v>
      </c>
      <c r="E35" s="46">
        <f t="shared" si="0"/>
        <v>30.470914127423825</v>
      </c>
      <c r="F35" s="46"/>
      <c r="G35" s="46"/>
    </row>
    <row r="36" spans="1:7" x14ac:dyDescent="0.25">
      <c r="A36" s="49" t="s">
        <v>161</v>
      </c>
      <c r="B36" s="50">
        <v>63</v>
      </c>
      <c r="C36" s="51">
        <v>1.63</v>
      </c>
      <c r="D36" s="45">
        <v>17</v>
      </c>
      <c r="E36" s="46">
        <f t="shared" si="0"/>
        <v>23.711844630960897</v>
      </c>
      <c r="F36" s="46"/>
      <c r="G36" s="46"/>
    </row>
    <row r="37" spans="1:7" x14ac:dyDescent="0.25">
      <c r="A37" s="49" t="s">
        <v>162</v>
      </c>
      <c r="B37" s="50">
        <v>90</v>
      </c>
      <c r="C37" s="51">
        <v>1.73</v>
      </c>
      <c r="D37" s="45">
        <v>70</v>
      </c>
      <c r="E37" s="46">
        <f t="shared" si="0"/>
        <v>30.071168431955627</v>
      </c>
      <c r="F37" s="46"/>
      <c r="G37" s="46"/>
    </row>
    <row r="38" spans="1:7" x14ac:dyDescent="0.25">
      <c r="A38" s="49" t="s">
        <v>163</v>
      </c>
      <c r="B38" s="50">
        <v>88</v>
      </c>
      <c r="C38" s="51">
        <v>1.81</v>
      </c>
      <c r="D38" s="45">
        <v>33</v>
      </c>
      <c r="E38" s="46">
        <f t="shared" si="0"/>
        <v>26.861206922865602</v>
      </c>
      <c r="F38" s="46"/>
      <c r="G38" s="46"/>
    </row>
    <row r="39" spans="1:7" ht="13.8" thickBot="1" x14ac:dyDescent="0.3">
      <c r="A39" s="52" t="s">
        <v>164</v>
      </c>
      <c r="B39" s="53">
        <v>80</v>
      </c>
      <c r="C39" s="54">
        <v>1.86</v>
      </c>
      <c r="D39" s="55">
        <v>19</v>
      </c>
      <c r="E39" s="46">
        <f t="shared" si="0"/>
        <v>23.12406058503873</v>
      </c>
      <c r="F39" s="46"/>
      <c r="G39" s="46"/>
    </row>
    <row r="40" spans="1:7" ht="14.4" thickTop="1" thickBot="1" x14ac:dyDescent="0.3">
      <c r="A40" s="56" t="s">
        <v>114</v>
      </c>
      <c r="B40" s="57"/>
      <c r="C40" s="57"/>
      <c r="D40" s="57"/>
      <c r="E40" s="57"/>
      <c r="F40" s="58"/>
    </row>
    <row r="41" spans="1:7" ht="14.4" thickTop="1" thickBot="1" x14ac:dyDescent="0.3">
      <c r="A41" s="59" t="s">
        <v>165</v>
      </c>
      <c r="B41" s="60"/>
      <c r="C41" s="60"/>
      <c r="D41" s="60"/>
      <c r="E41" s="60"/>
      <c r="F41" s="58"/>
    </row>
    <row r="42" spans="1:7" ht="13.8" thickTop="1" x14ac:dyDescent="0.25"/>
  </sheetData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F39"/>
  <sheetViews>
    <sheetView topLeftCell="A13" workbookViewId="0">
      <selection activeCell="I5" sqref="I5"/>
    </sheetView>
  </sheetViews>
  <sheetFormatPr defaultRowHeight="13.2" x14ac:dyDescent="0.25"/>
  <cols>
    <col min="1" max="1" width="25.5546875" customWidth="1"/>
    <col min="2" max="2" width="17.88671875" customWidth="1"/>
    <col min="3" max="3" width="16.6640625" customWidth="1"/>
    <col min="4" max="4" width="18.44140625" customWidth="1"/>
    <col min="5" max="5" width="16.44140625" customWidth="1"/>
  </cols>
  <sheetData>
    <row r="1" spans="1:6" ht="15.6" x14ac:dyDescent="0.3">
      <c r="A1" s="86" t="s">
        <v>253</v>
      </c>
    </row>
    <row r="2" spans="1:6" ht="15.6" x14ac:dyDescent="0.3">
      <c r="A2" s="86"/>
    </row>
    <row r="3" spans="1:6" x14ac:dyDescent="0.25">
      <c r="A3" s="85"/>
    </row>
    <row r="4" spans="1:6" ht="21.6" thickBot="1" x14ac:dyDescent="0.45">
      <c r="B4" s="80" t="s">
        <v>241</v>
      </c>
    </row>
    <row r="5" spans="1:6" ht="27.6" thickTop="1" thickBot="1" x14ac:dyDescent="0.3">
      <c r="E5" s="39" t="s">
        <v>190</v>
      </c>
      <c r="F5" s="83">
        <v>300</v>
      </c>
    </row>
    <row r="6" spans="1:6" ht="27.6" thickTop="1" thickBot="1" x14ac:dyDescent="0.3">
      <c r="E6" s="39" t="s">
        <v>193</v>
      </c>
      <c r="F6" s="84">
        <v>0.01</v>
      </c>
    </row>
    <row r="7" spans="1:6" ht="14.4" thickTop="1" thickBot="1" x14ac:dyDescent="0.3"/>
    <row r="8" spans="1:6" ht="40.799999999999997" thickTop="1" thickBot="1" x14ac:dyDescent="0.3">
      <c r="A8" s="37" t="s">
        <v>192</v>
      </c>
      <c r="B8" s="39" t="s">
        <v>187</v>
      </c>
      <c r="C8" s="38" t="s">
        <v>194</v>
      </c>
      <c r="D8" s="40" t="s">
        <v>191</v>
      </c>
    </row>
    <row r="9" spans="1:6" ht="13.8" thickTop="1" x14ac:dyDescent="0.25">
      <c r="A9" s="43" t="s">
        <v>127</v>
      </c>
      <c r="B9" s="43" t="s">
        <v>188</v>
      </c>
      <c r="C9" s="43">
        <v>5000</v>
      </c>
      <c r="D9" s="81"/>
    </row>
    <row r="10" spans="1:6" x14ac:dyDescent="0.25">
      <c r="A10" s="49" t="s">
        <v>130</v>
      </c>
      <c r="B10" s="49" t="s">
        <v>189</v>
      </c>
      <c r="C10" s="49">
        <v>3500</v>
      </c>
      <c r="D10" s="81"/>
    </row>
    <row r="11" spans="1:6" x14ac:dyDescent="0.25">
      <c r="A11" s="49" t="s">
        <v>133</v>
      </c>
      <c r="B11" s="49" t="s">
        <v>188</v>
      </c>
      <c r="C11" s="49">
        <v>2800</v>
      </c>
      <c r="D11" s="81"/>
    </row>
    <row r="12" spans="1:6" x14ac:dyDescent="0.25">
      <c r="A12" s="49" t="s">
        <v>136</v>
      </c>
      <c r="B12" s="49" t="s">
        <v>188</v>
      </c>
      <c r="C12" s="49">
        <v>1800</v>
      </c>
      <c r="D12" s="81"/>
    </row>
    <row r="13" spans="1:6" x14ac:dyDescent="0.25">
      <c r="A13" s="49" t="s">
        <v>139</v>
      </c>
      <c r="B13" s="49" t="s">
        <v>188</v>
      </c>
      <c r="C13" s="49">
        <v>3000</v>
      </c>
      <c r="D13" s="81"/>
    </row>
    <row r="14" spans="1:6" x14ac:dyDescent="0.25">
      <c r="A14" s="49" t="s">
        <v>140</v>
      </c>
      <c r="B14" s="49" t="s">
        <v>189</v>
      </c>
      <c r="C14" s="49">
        <v>2900</v>
      </c>
      <c r="D14" s="81"/>
    </row>
    <row r="15" spans="1:6" x14ac:dyDescent="0.25">
      <c r="A15" s="49" t="s">
        <v>141</v>
      </c>
      <c r="B15" s="49" t="s">
        <v>188</v>
      </c>
      <c r="C15" s="49">
        <v>2200</v>
      </c>
      <c r="D15" s="81"/>
    </row>
    <row r="16" spans="1:6" x14ac:dyDescent="0.25">
      <c r="A16" s="49" t="s">
        <v>142</v>
      </c>
      <c r="B16" s="49" t="s">
        <v>189</v>
      </c>
      <c r="C16" s="49">
        <v>2600</v>
      </c>
      <c r="D16" s="81"/>
    </row>
    <row r="17" spans="1:4" x14ac:dyDescent="0.25">
      <c r="A17" s="49" t="s">
        <v>143</v>
      </c>
      <c r="B17" s="49" t="s">
        <v>188</v>
      </c>
      <c r="C17" s="49">
        <v>2800</v>
      </c>
      <c r="D17" s="81"/>
    </row>
    <row r="18" spans="1:4" x14ac:dyDescent="0.25">
      <c r="A18" s="49" t="s">
        <v>144</v>
      </c>
      <c r="B18" s="49" t="s">
        <v>188</v>
      </c>
      <c r="C18" s="49">
        <v>2500</v>
      </c>
      <c r="D18" s="81"/>
    </row>
    <row r="19" spans="1:4" x14ac:dyDescent="0.25">
      <c r="A19" s="49" t="s">
        <v>145</v>
      </c>
      <c r="B19" s="49" t="s">
        <v>188</v>
      </c>
      <c r="C19" s="49">
        <v>3500</v>
      </c>
      <c r="D19" s="81"/>
    </row>
    <row r="20" spans="1:4" x14ac:dyDescent="0.25">
      <c r="A20" s="49" t="s">
        <v>146</v>
      </c>
      <c r="B20" s="49" t="s">
        <v>189</v>
      </c>
      <c r="C20" s="49">
        <v>1600</v>
      </c>
      <c r="D20" s="81"/>
    </row>
    <row r="21" spans="1:4" x14ac:dyDescent="0.25">
      <c r="A21" s="49" t="s">
        <v>147</v>
      </c>
      <c r="B21" s="49" t="s">
        <v>189</v>
      </c>
      <c r="C21" s="49">
        <v>3000</v>
      </c>
      <c r="D21" s="81"/>
    </row>
    <row r="22" spans="1:4" x14ac:dyDescent="0.25">
      <c r="A22" s="49" t="s">
        <v>148</v>
      </c>
      <c r="B22" s="49" t="s">
        <v>188</v>
      </c>
      <c r="C22" s="49">
        <v>2200</v>
      </c>
      <c r="D22" s="81"/>
    </row>
    <row r="23" spans="1:4" x14ac:dyDescent="0.25">
      <c r="A23" s="49" t="s">
        <v>149</v>
      </c>
      <c r="B23" s="49" t="s">
        <v>189</v>
      </c>
      <c r="C23" s="49">
        <v>3600</v>
      </c>
      <c r="D23" s="81"/>
    </row>
    <row r="24" spans="1:4" x14ac:dyDescent="0.25">
      <c r="A24" s="49" t="s">
        <v>150</v>
      </c>
      <c r="B24" s="49" t="s">
        <v>188</v>
      </c>
      <c r="C24" s="49">
        <v>4200</v>
      </c>
      <c r="D24" s="81"/>
    </row>
    <row r="25" spans="1:4" x14ac:dyDescent="0.25">
      <c r="A25" s="49" t="s">
        <v>151</v>
      </c>
      <c r="B25" s="49" t="s">
        <v>189</v>
      </c>
      <c r="C25" s="49">
        <v>4600</v>
      </c>
      <c r="D25" s="81"/>
    </row>
    <row r="26" spans="1:4" x14ac:dyDescent="0.25">
      <c r="A26" s="49" t="s">
        <v>152</v>
      </c>
      <c r="B26" s="49" t="s">
        <v>188</v>
      </c>
      <c r="C26" s="49">
        <v>4000</v>
      </c>
      <c r="D26" s="81"/>
    </row>
    <row r="27" spans="1:4" x14ac:dyDescent="0.25">
      <c r="A27" s="49" t="s">
        <v>153</v>
      </c>
      <c r="B27" s="49" t="s">
        <v>189</v>
      </c>
      <c r="C27" s="49">
        <v>3000</v>
      </c>
      <c r="D27" s="81"/>
    </row>
    <row r="28" spans="1:4" x14ac:dyDescent="0.25">
      <c r="A28" s="49" t="s">
        <v>154</v>
      </c>
      <c r="B28" s="49" t="s">
        <v>188</v>
      </c>
      <c r="C28" s="49">
        <v>2400</v>
      </c>
      <c r="D28" s="81"/>
    </row>
    <row r="29" spans="1:4" x14ac:dyDescent="0.25">
      <c r="A29" s="49" t="s">
        <v>155</v>
      </c>
      <c r="B29" s="49" t="s">
        <v>189</v>
      </c>
      <c r="C29" s="49">
        <v>2900</v>
      </c>
      <c r="D29" s="81"/>
    </row>
    <row r="30" spans="1:4" x14ac:dyDescent="0.25">
      <c r="A30" s="49" t="s">
        <v>156</v>
      </c>
      <c r="B30" s="49" t="s">
        <v>188</v>
      </c>
      <c r="C30" s="49">
        <v>4000</v>
      </c>
      <c r="D30" s="81"/>
    </row>
    <row r="31" spans="1:4" x14ac:dyDescent="0.25">
      <c r="A31" s="49" t="s">
        <v>157</v>
      </c>
      <c r="B31" s="49" t="s">
        <v>189</v>
      </c>
      <c r="C31" s="49">
        <v>2200</v>
      </c>
      <c r="D31" s="81"/>
    </row>
    <row r="32" spans="1:4" x14ac:dyDescent="0.25">
      <c r="A32" s="49" t="s">
        <v>158</v>
      </c>
      <c r="B32" s="49" t="s">
        <v>188</v>
      </c>
      <c r="C32" s="49">
        <v>3100</v>
      </c>
      <c r="D32" s="81"/>
    </row>
    <row r="33" spans="1:4" x14ac:dyDescent="0.25">
      <c r="A33" s="49" t="s">
        <v>159</v>
      </c>
      <c r="B33" s="49" t="s">
        <v>188</v>
      </c>
      <c r="C33" s="49">
        <v>2600</v>
      </c>
      <c r="D33" s="81"/>
    </row>
    <row r="34" spans="1:4" x14ac:dyDescent="0.25">
      <c r="A34" s="49" t="s">
        <v>160</v>
      </c>
      <c r="B34" s="49" t="s">
        <v>188</v>
      </c>
      <c r="C34" s="49">
        <v>2400</v>
      </c>
      <c r="D34" s="81"/>
    </row>
    <row r="35" spans="1:4" x14ac:dyDescent="0.25">
      <c r="A35" s="49" t="s">
        <v>161</v>
      </c>
      <c r="B35" s="49" t="s">
        <v>189</v>
      </c>
      <c r="C35" s="49">
        <v>3400</v>
      </c>
      <c r="D35" s="81"/>
    </row>
    <row r="36" spans="1:4" x14ac:dyDescent="0.25">
      <c r="A36" s="49" t="s">
        <v>162</v>
      </c>
      <c r="B36" s="49" t="s">
        <v>188</v>
      </c>
      <c r="C36" s="49">
        <v>3000</v>
      </c>
      <c r="D36" s="81"/>
    </row>
    <row r="37" spans="1:4" x14ac:dyDescent="0.25">
      <c r="A37" s="49" t="s">
        <v>163</v>
      </c>
      <c r="B37" s="49" t="s">
        <v>188</v>
      </c>
      <c r="C37" s="49">
        <v>2000</v>
      </c>
      <c r="D37" s="81"/>
    </row>
    <row r="38" spans="1:4" ht="13.8" thickBot="1" x14ac:dyDescent="0.3">
      <c r="A38" s="82" t="s">
        <v>164</v>
      </c>
      <c r="B38" s="82" t="s">
        <v>189</v>
      </c>
      <c r="C38" s="82">
        <v>3100</v>
      </c>
      <c r="D38" s="81"/>
    </row>
    <row r="39" spans="1:4" ht="13.8" thickTop="1" x14ac:dyDescent="0.25"/>
  </sheetData>
  <phoneticPr fontId="0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A4:M28"/>
  <sheetViews>
    <sheetView workbookViewId="0">
      <selection activeCell="D22" sqref="D22"/>
    </sheetView>
  </sheetViews>
  <sheetFormatPr defaultRowHeight="13.2" x14ac:dyDescent="0.25"/>
  <cols>
    <col min="1" max="1" width="13.109375" customWidth="1"/>
    <col min="2" max="2" width="16.5546875" customWidth="1"/>
    <col min="3" max="3" width="19" customWidth="1"/>
    <col min="4" max="4" width="13.6640625" customWidth="1"/>
  </cols>
  <sheetData>
    <row r="4" spans="1:13" ht="15.6" x14ac:dyDescent="0.3">
      <c r="A4" s="61"/>
      <c r="B4" s="61"/>
      <c r="D4" s="62" t="s">
        <v>249</v>
      </c>
      <c r="E4" s="63"/>
      <c r="F4" s="63"/>
      <c r="G4" s="63"/>
      <c r="H4" s="63"/>
      <c r="I4" s="63"/>
      <c r="J4" s="63"/>
      <c r="K4" s="63"/>
    </row>
    <row r="5" spans="1:13" ht="15.6" x14ac:dyDescent="0.3">
      <c r="A5" s="64"/>
      <c r="B5" s="64"/>
      <c r="D5" s="142">
        <v>9</v>
      </c>
      <c r="E5" s="143">
        <v>7</v>
      </c>
      <c r="F5" s="143">
        <v>7</v>
      </c>
      <c r="G5" s="143">
        <v>3</v>
      </c>
      <c r="H5" s="143">
        <v>7</v>
      </c>
      <c r="I5" s="143">
        <v>8</v>
      </c>
      <c r="J5" s="143">
        <v>7</v>
      </c>
      <c r="K5" s="143">
        <v>8</v>
      </c>
      <c r="L5" s="143">
        <v>6</v>
      </c>
      <c r="M5" s="144">
        <v>4</v>
      </c>
    </row>
    <row r="6" spans="1:13" ht="15.6" x14ac:dyDescent="0.3">
      <c r="A6" s="64"/>
      <c r="B6" s="64"/>
      <c r="D6" s="145">
        <v>3</v>
      </c>
      <c r="E6" s="146">
        <v>5</v>
      </c>
      <c r="F6" s="146">
        <v>7</v>
      </c>
      <c r="G6" s="146">
        <v>5</v>
      </c>
      <c r="H6" s="146">
        <v>8</v>
      </c>
      <c r="I6" s="146">
        <v>6</v>
      </c>
      <c r="J6" s="146">
        <v>5</v>
      </c>
      <c r="K6" s="146">
        <v>6</v>
      </c>
      <c r="L6" s="146">
        <v>5</v>
      </c>
      <c r="M6" s="147">
        <v>9</v>
      </c>
    </row>
    <row r="7" spans="1:13" ht="15.6" x14ac:dyDescent="0.3">
      <c r="A7" s="64"/>
      <c r="B7" s="64"/>
      <c r="D7" s="145">
        <v>3</v>
      </c>
      <c r="E7" s="146">
        <v>3</v>
      </c>
      <c r="F7" s="146">
        <v>1</v>
      </c>
      <c r="G7" s="146">
        <v>6</v>
      </c>
      <c r="H7" s="146">
        <v>7</v>
      </c>
      <c r="I7" s="146">
        <v>2</v>
      </c>
      <c r="J7" s="146">
        <v>3</v>
      </c>
      <c r="K7" s="146">
        <v>4</v>
      </c>
      <c r="L7" s="146">
        <v>7</v>
      </c>
      <c r="M7" s="147">
        <v>8</v>
      </c>
    </row>
    <row r="8" spans="1:13" ht="15.6" x14ac:dyDescent="0.3">
      <c r="A8" s="64"/>
      <c r="B8" s="64"/>
      <c r="D8" s="145">
        <v>4</v>
      </c>
      <c r="E8" s="146">
        <v>2</v>
      </c>
      <c r="F8" s="146">
        <v>7</v>
      </c>
      <c r="G8" s="146">
        <v>7</v>
      </c>
      <c r="H8" s="146">
        <v>8</v>
      </c>
      <c r="I8" s="146">
        <v>6</v>
      </c>
      <c r="J8" s="146">
        <v>6</v>
      </c>
      <c r="K8" s="146">
        <v>4</v>
      </c>
      <c r="L8" s="146">
        <v>10</v>
      </c>
      <c r="M8" s="147">
        <v>5</v>
      </c>
    </row>
    <row r="9" spans="1:13" ht="15.6" x14ac:dyDescent="0.3">
      <c r="A9" s="65"/>
      <c r="B9" s="65"/>
      <c r="D9" s="148">
        <v>6</v>
      </c>
      <c r="E9" s="149">
        <v>5</v>
      </c>
      <c r="F9" s="149">
        <v>6</v>
      </c>
      <c r="G9" s="149">
        <v>4</v>
      </c>
      <c r="H9" s="149">
        <v>5</v>
      </c>
      <c r="I9" s="149">
        <v>4</v>
      </c>
      <c r="J9" s="149">
        <v>4</v>
      </c>
      <c r="K9" s="149">
        <v>5</v>
      </c>
      <c r="L9" s="149">
        <v>7</v>
      </c>
      <c r="M9" s="150">
        <v>6</v>
      </c>
    </row>
    <row r="11" spans="1:13" ht="16.2" thickBot="1" x14ac:dyDescent="0.35">
      <c r="A11" s="129" t="s">
        <v>230</v>
      </c>
      <c r="B11" s="127"/>
      <c r="C11" s="128"/>
      <c r="D11" s="128"/>
      <c r="E11" s="128"/>
      <c r="F11" s="128"/>
      <c r="G11" s="128"/>
      <c r="H11" s="128"/>
    </row>
    <row r="12" spans="1:13" ht="16.2" thickBot="1" x14ac:dyDescent="0.35">
      <c r="A12" s="129" t="s">
        <v>231</v>
      </c>
      <c r="B12" s="127"/>
      <c r="C12" s="128"/>
      <c r="D12" s="128"/>
      <c r="E12" s="128"/>
      <c r="F12" s="128"/>
      <c r="G12" s="128"/>
      <c r="H12" s="128"/>
      <c r="K12" s="66"/>
    </row>
    <row r="13" spans="1:13" ht="15.6" x14ac:dyDescent="0.3">
      <c r="A13" s="67" t="s">
        <v>233</v>
      </c>
      <c r="B13" s="67"/>
    </row>
    <row r="14" spans="1:13" ht="15.6" x14ac:dyDescent="0.3">
      <c r="A14" s="67" t="s">
        <v>232</v>
      </c>
      <c r="B14" s="67"/>
    </row>
    <row r="15" spans="1:13" ht="15.6" x14ac:dyDescent="0.3">
      <c r="A15" s="67"/>
      <c r="B15" s="67"/>
    </row>
    <row r="16" spans="1:13" ht="15.6" x14ac:dyDescent="0.3">
      <c r="A16" s="151" t="s">
        <v>240</v>
      </c>
      <c r="B16" s="151"/>
    </row>
    <row r="17" spans="1:4" ht="45" customHeight="1" x14ac:dyDescent="0.25">
      <c r="A17" s="124" t="s">
        <v>166</v>
      </c>
      <c r="B17" s="125" t="s">
        <v>229</v>
      </c>
      <c r="C17" s="125" t="s">
        <v>228</v>
      </c>
      <c r="D17" s="126" t="s">
        <v>167</v>
      </c>
    </row>
    <row r="18" spans="1:4" x14ac:dyDescent="0.25">
      <c r="A18" s="4">
        <v>1</v>
      </c>
      <c r="B18" s="123"/>
      <c r="C18" s="68"/>
      <c r="D18" s="69"/>
    </row>
    <row r="19" spans="1:4" x14ac:dyDescent="0.25">
      <c r="A19" s="4">
        <v>2</v>
      </c>
      <c r="B19" s="123"/>
      <c r="C19" s="68"/>
      <c r="D19" s="69"/>
    </row>
    <row r="20" spans="1:4" x14ac:dyDescent="0.25">
      <c r="A20" s="4">
        <v>3</v>
      </c>
      <c r="B20" s="123"/>
      <c r="C20" s="68"/>
      <c r="D20" s="69"/>
    </row>
    <row r="21" spans="1:4" x14ac:dyDescent="0.25">
      <c r="A21" s="4">
        <v>4</v>
      </c>
      <c r="B21" s="123"/>
      <c r="C21" s="68"/>
      <c r="D21" s="69"/>
    </row>
    <row r="22" spans="1:4" x14ac:dyDescent="0.25">
      <c r="A22" s="4">
        <v>5</v>
      </c>
      <c r="B22" s="123"/>
      <c r="C22" s="68"/>
      <c r="D22" s="69"/>
    </row>
    <row r="23" spans="1:4" x14ac:dyDescent="0.25">
      <c r="A23" s="4">
        <v>6</v>
      </c>
      <c r="B23" s="123"/>
      <c r="C23" s="68"/>
      <c r="D23" s="69"/>
    </row>
    <row r="24" spans="1:4" x14ac:dyDescent="0.25">
      <c r="A24" s="4">
        <v>7</v>
      </c>
      <c r="B24" s="123"/>
      <c r="C24" s="68"/>
      <c r="D24" s="69"/>
    </row>
    <row r="25" spans="1:4" x14ac:dyDescent="0.25">
      <c r="A25" s="4">
        <v>8</v>
      </c>
      <c r="B25" s="123"/>
      <c r="C25" s="68"/>
      <c r="D25" s="69"/>
    </row>
    <row r="26" spans="1:4" x14ac:dyDescent="0.25">
      <c r="A26" s="4">
        <v>9</v>
      </c>
      <c r="B26" s="123"/>
      <c r="C26" s="68"/>
      <c r="D26" s="69"/>
    </row>
    <row r="27" spans="1:4" ht="13.8" thickBot="1" x14ac:dyDescent="0.3">
      <c r="A27" s="4">
        <v>10</v>
      </c>
      <c r="B27" s="123"/>
      <c r="C27" s="68"/>
      <c r="D27" s="70"/>
    </row>
    <row r="28" spans="1:4" ht="13.8" thickBot="1" x14ac:dyDescent="0.3">
      <c r="A28" s="71" t="s">
        <v>114</v>
      </c>
      <c r="B28" s="72"/>
      <c r="C28" s="72"/>
      <c r="D28" s="73"/>
    </row>
  </sheetData>
  <mergeCells count="1">
    <mergeCell ref="A16:B16"/>
  </mergeCells>
  <phoneticPr fontId="0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1"/>
  <dimension ref="A1:M53"/>
  <sheetViews>
    <sheetView topLeftCell="A28" zoomScale="140" zoomScaleNormal="140" workbookViewId="0">
      <selection activeCell="R15" sqref="R15"/>
    </sheetView>
  </sheetViews>
  <sheetFormatPr defaultRowHeight="15" x14ac:dyDescent="0.25"/>
  <cols>
    <col min="1" max="1" width="11.6640625" customWidth="1"/>
    <col min="2" max="7" width="2.6640625" bestFit="1" customWidth="1"/>
    <col min="8" max="8" width="1.6640625" customWidth="1"/>
    <col min="9" max="9" width="6.109375" style="11" customWidth="1"/>
    <col min="10" max="10" width="13.44140625" customWidth="1"/>
  </cols>
  <sheetData>
    <row r="1" spans="1:10" ht="16.95" customHeight="1" thickBot="1" x14ac:dyDescent="0.3">
      <c r="A1" s="10"/>
    </row>
    <row r="2" spans="1:10" s="13" customFormat="1" ht="10.199999999999999" x14ac:dyDescent="0.2">
      <c r="A2" s="12" t="s">
        <v>104</v>
      </c>
      <c r="B2" s="152" t="s">
        <v>105</v>
      </c>
      <c r="C2" s="152"/>
      <c r="D2" s="152"/>
      <c r="E2" s="152"/>
      <c r="F2" s="152"/>
      <c r="G2" s="152"/>
      <c r="I2" s="153" t="s">
        <v>106</v>
      </c>
      <c r="J2" s="154"/>
    </row>
    <row r="3" spans="1:10" s="13" customFormat="1" ht="10.199999999999999" customHeight="1" x14ac:dyDescent="0.2">
      <c r="A3" s="14">
        <v>38147</v>
      </c>
      <c r="B3" s="15">
        <v>1</v>
      </c>
      <c r="C3" s="15">
        <v>11</v>
      </c>
      <c r="D3" s="15">
        <v>16</v>
      </c>
      <c r="E3" s="15">
        <v>23</v>
      </c>
      <c r="F3" s="15">
        <v>28</v>
      </c>
      <c r="G3" s="15">
        <v>36</v>
      </c>
      <c r="I3" s="16" t="s">
        <v>107</v>
      </c>
      <c r="J3" s="17" t="s">
        <v>204</v>
      </c>
    </row>
    <row r="4" spans="1:10" s="13" customFormat="1" ht="10.199999999999999" customHeight="1" x14ac:dyDescent="0.2">
      <c r="A4" s="14">
        <v>38148</v>
      </c>
      <c r="B4" s="15">
        <v>3</v>
      </c>
      <c r="C4" s="15">
        <v>5</v>
      </c>
      <c r="D4" s="15">
        <v>9</v>
      </c>
      <c r="E4" s="15">
        <v>22</v>
      </c>
      <c r="F4" s="15">
        <v>28</v>
      </c>
      <c r="G4" s="15">
        <v>38</v>
      </c>
      <c r="I4" s="18">
        <v>1</v>
      </c>
      <c r="J4" s="19"/>
    </row>
    <row r="5" spans="1:10" s="13" customFormat="1" ht="10.199999999999999" customHeight="1" x14ac:dyDescent="0.2">
      <c r="A5" s="14">
        <v>38149</v>
      </c>
      <c r="B5" s="15">
        <v>9</v>
      </c>
      <c r="C5" s="15">
        <v>15</v>
      </c>
      <c r="D5" s="15">
        <v>16</v>
      </c>
      <c r="E5" s="15">
        <v>39</v>
      </c>
      <c r="F5" s="15">
        <v>47</v>
      </c>
      <c r="G5" s="15">
        <v>49</v>
      </c>
      <c r="I5" s="18">
        <v>2</v>
      </c>
      <c r="J5" s="19"/>
    </row>
    <row r="6" spans="1:10" s="13" customFormat="1" ht="10.199999999999999" customHeight="1" x14ac:dyDescent="0.2">
      <c r="A6" s="14">
        <v>38150</v>
      </c>
      <c r="B6" s="15">
        <v>8</v>
      </c>
      <c r="C6" s="15">
        <v>18</v>
      </c>
      <c r="D6" s="15">
        <v>26</v>
      </c>
      <c r="E6" s="15">
        <v>32</v>
      </c>
      <c r="F6" s="15">
        <v>42</v>
      </c>
      <c r="G6" s="15">
        <v>48</v>
      </c>
      <c r="I6" s="18">
        <v>3</v>
      </c>
      <c r="J6" s="19"/>
    </row>
    <row r="7" spans="1:10" s="13" customFormat="1" ht="10.199999999999999" x14ac:dyDescent="0.2">
      <c r="A7" s="14">
        <v>38151</v>
      </c>
      <c r="B7" s="15">
        <v>8</v>
      </c>
      <c r="C7" s="15">
        <v>20</v>
      </c>
      <c r="D7" s="15">
        <v>30</v>
      </c>
      <c r="E7" s="15">
        <v>39</v>
      </c>
      <c r="F7" s="15">
        <v>40</v>
      </c>
      <c r="G7" s="15">
        <v>47</v>
      </c>
      <c r="I7" s="18">
        <v>4</v>
      </c>
      <c r="J7" s="19"/>
    </row>
    <row r="8" spans="1:10" s="13" customFormat="1" ht="10.199999999999999" x14ac:dyDescent="0.2">
      <c r="A8" s="14">
        <v>38152</v>
      </c>
      <c r="B8" s="15">
        <v>9</v>
      </c>
      <c r="C8" s="15">
        <v>13</v>
      </c>
      <c r="D8" s="15">
        <v>23</v>
      </c>
      <c r="E8" s="15">
        <v>25</v>
      </c>
      <c r="F8" s="15">
        <v>28</v>
      </c>
      <c r="G8" s="15">
        <v>49</v>
      </c>
      <c r="I8" s="18">
        <v>5</v>
      </c>
      <c r="J8" s="19"/>
    </row>
    <row r="9" spans="1:10" s="13" customFormat="1" ht="10.199999999999999" x14ac:dyDescent="0.2">
      <c r="A9" s="14">
        <v>38153</v>
      </c>
      <c r="B9" s="15">
        <v>12</v>
      </c>
      <c r="C9" s="15">
        <v>16</v>
      </c>
      <c r="D9" s="15">
        <v>19</v>
      </c>
      <c r="E9" s="15">
        <v>27</v>
      </c>
      <c r="F9" s="15">
        <v>38</v>
      </c>
      <c r="G9" s="15">
        <v>39</v>
      </c>
      <c r="I9" s="18">
        <v>6</v>
      </c>
      <c r="J9" s="19"/>
    </row>
    <row r="10" spans="1:10" s="13" customFormat="1" ht="10.199999999999999" x14ac:dyDescent="0.2">
      <c r="A10" s="14">
        <v>38154</v>
      </c>
      <c r="B10" s="15">
        <v>4</v>
      </c>
      <c r="C10" s="15">
        <v>7</v>
      </c>
      <c r="D10" s="15">
        <v>17</v>
      </c>
      <c r="E10" s="15">
        <v>25</v>
      </c>
      <c r="F10" s="15">
        <v>28</v>
      </c>
      <c r="G10" s="15">
        <v>36</v>
      </c>
      <c r="I10" s="18">
        <v>7</v>
      </c>
      <c r="J10" s="19"/>
    </row>
    <row r="11" spans="1:10" s="13" customFormat="1" ht="10.199999999999999" x14ac:dyDescent="0.2">
      <c r="A11" s="14">
        <v>38155</v>
      </c>
      <c r="B11" s="15">
        <v>11</v>
      </c>
      <c r="C11" s="15">
        <v>15</v>
      </c>
      <c r="D11" s="15">
        <v>20</v>
      </c>
      <c r="E11" s="15">
        <v>23</v>
      </c>
      <c r="F11" s="15">
        <v>27</v>
      </c>
      <c r="G11" s="15">
        <v>32</v>
      </c>
      <c r="I11" s="18">
        <v>8</v>
      </c>
      <c r="J11" s="19"/>
    </row>
    <row r="12" spans="1:10" s="13" customFormat="1" ht="10.199999999999999" x14ac:dyDescent="0.2">
      <c r="A12" s="14">
        <v>38156</v>
      </c>
      <c r="B12" s="15">
        <v>13</v>
      </c>
      <c r="C12" s="15">
        <v>17</v>
      </c>
      <c r="D12" s="15">
        <v>18</v>
      </c>
      <c r="E12" s="15">
        <v>24</v>
      </c>
      <c r="F12" s="15">
        <v>26</v>
      </c>
      <c r="G12" s="15">
        <v>29</v>
      </c>
      <c r="I12" s="18">
        <v>9</v>
      </c>
      <c r="J12" s="19"/>
    </row>
    <row r="13" spans="1:10" s="13" customFormat="1" ht="10.199999999999999" x14ac:dyDescent="0.2">
      <c r="A13" s="14">
        <v>38157</v>
      </c>
      <c r="B13" s="15">
        <v>2</v>
      </c>
      <c r="C13" s="15">
        <v>11</v>
      </c>
      <c r="D13" s="15">
        <v>22</v>
      </c>
      <c r="E13" s="15">
        <v>33</v>
      </c>
      <c r="F13" s="15">
        <v>35</v>
      </c>
      <c r="G13" s="15">
        <v>48</v>
      </c>
      <c r="I13" s="18">
        <v>10</v>
      </c>
      <c r="J13" s="19"/>
    </row>
    <row r="14" spans="1:10" s="13" customFormat="1" ht="10.199999999999999" x14ac:dyDescent="0.2">
      <c r="A14" s="14">
        <v>38158</v>
      </c>
      <c r="B14" s="15">
        <v>4</v>
      </c>
      <c r="C14" s="15">
        <v>5</v>
      </c>
      <c r="D14" s="15">
        <v>23</v>
      </c>
      <c r="E14" s="15">
        <v>25</v>
      </c>
      <c r="F14" s="15">
        <v>27</v>
      </c>
      <c r="G14" s="15">
        <v>43</v>
      </c>
      <c r="I14" s="18">
        <v>11</v>
      </c>
      <c r="J14" s="19"/>
    </row>
    <row r="15" spans="1:10" s="13" customFormat="1" ht="10.199999999999999" x14ac:dyDescent="0.2">
      <c r="A15" s="14">
        <v>38159</v>
      </c>
      <c r="B15" s="15">
        <v>15</v>
      </c>
      <c r="C15" s="15">
        <v>19</v>
      </c>
      <c r="D15" s="15">
        <v>27</v>
      </c>
      <c r="E15" s="15">
        <v>34</v>
      </c>
      <c r="F15" s="15">
        <v>37</v>
      </c>
      <c r="G15" s="15">
        <v>49</v>
      </c>
      <c r="I15" s="18">
        <v>12</v>
      </c>
      <c r="J15" s="19"/>
    </row>
    <row r="16" spans="1:10" s="13" customFormat="1" ht="10.199999999999999" x14ac:dyDescent="0.2">
      <c r="A16" s="14">
        <v>38160</v>
      </c>
      <c r="B16" s="15">
        <v>4</v>
      </c>
      <c r="C16" s="15">
        <v>13</v>
      </c>
      <c r="D16" s="15">
        <v>28</v>
      </c>
      <c r="E16" s="15">
        <v>34</v>
      </c>
      <c r="F16" s="15">
        <v>41</v>
      </c>
      <c r="G16" s="15">
        <v>43</v>
      </c>
      <c r="I16" s="18">
        <v>13</v>
      </c>
      <c r="J16" s="19"/>
    </row>
    <row r="17" spans="1:13" s="13" customFormat="1" ht="10.199999999999999" x14ac:dyDescent="0.2">
      <c r="A17" s="14">
        <v>38161</v>
      </c>
      <c r="B17" s="15">
        <v>1</v>
      </c>
      <c r="C17" s="15">
        <v>3</v>
      </c>
      <c r="D17" s="15">
        <v>16</v>
      </c>
      <c r="E17" s="15">
        <v>20</v>
      </c>
      <c r="F17" s="15">
        <v>39</v>
      </c>
      <c r="G17" s="15">
        <v>46</v>
      </c>
      <c r="I17" s="18">
        <v>14</v>
      </c>
      <c r="J17" s="19"/>
    </row>
    <row r="18" spans="1:13" s="13" customFormat="1" ht="10.199999999999999" x14ac:dyDescent="0.2">
      <c r="A18" s="14">
        <v>38162</v>
      </c>
      <c r="B18" s="15">
        <v>12</v>
      </c>
      <c r="C18" s="15">
        <v>17</v>
      </c>
      <c r="D18" s="15">
        <v>22</v>
      </c>
      <c r="E18" s="15">
        <v>23</v>
      </c>
      <c r="F18" s="15">
        <v>24</v>
      </c>
      <c r="G18" s="15">
        <v>27</v>
      </c>
      <c r="I18" s="18">
        <v>15</v>
      </c>
      <c r="J18" s="19"/>
    </row>
    <row r="19" spans="1:13" s="13" customFormat="1" ht="10.199999999999999" x14ac:dyDescent="0.2">
      <c r="A19" s="14">
        <v>38163</v>
      </c>
      <c r="B19" s="15">
        <v>9</v>
      </c>
      <c r="C19" s="15">
        <v>18</v>
      </c>
      <c r="D19" s="15">
        <v>20</v>
      </c>
      <c r="E19" s="15">
        <v>24</v>
      </c>
      <c r="F19" s="15">
        <v>29</v>
      </c>
      <c r="G19" s="15">
        <v>34</v>
      </c>
      <c r="I19" s="18">
        <v>16</v>
      </c>
      <c r="J19" s="19"/>
    </row>
    <row r="20" spans="1:13" s="13" customFormat="1" ht="10.199999999999999" x14ac:dyDescent="0.2">
      <c r="A20" s="14">
        <v>38164</v>
      </c>
      <c r="B20" s="15">
        <v>12</v>
      </c>
      <c r="C20" s="15">
        <v>19</v>
      </c>
      <c r="D20" s="15">
        <v>36</v>
      </c>
      <c r="E20" s="15">
        <v>38</v>
      </c>
      <c r="F20" s="15">
        <v>39</v>
      </c>
      <c r="G20" s="15">
        <v>49</v>
      </c>
      <c r="I20" s="18">
        <v>17</v>
      </c>
      <c r="J20" s="19"/>
    </row>
    <row r="21" spans="1:13" s="13" customFormat="1" ht="10.199999999999999" x14ac:dyDescent="0.2">
      <c r="A21" s="14">
        <v>38165</v>
      </c>
      <c r="B21" s="15">
        <v>1</v>
      </c>
      <c r="C21" s="15">
        <v>6</v>
      </c>
      <c r="D21" s="15">
        <v>21</v>
      </c>
      <c r="E21" s="15">
        <v>31</v>
      </c>
      <c r="F21" s="15">
        <v>32</v>
      </c>
      <c r="G21" s="15">
        <v>46</v>
      </c>
      <c r="I21" s="18">
        <v>18</v>
      </c>
      <c r="J21" s="19"/>
    </row>
    <row r="22" spans="1:13" s="13" customFormat="1" ht="10.199999999999999" x14ac:dyDescent="0.2">
      <c r="A22" s="14">
        <v>38166</v>
      </c>
      <c r="B22" s="15">
        <v>7</v>
      </c>
      <c r="C22" s="15">
        <v>8</v>
      </c>
      <c r="D22" s="15">
        <v>13</v>
      </c>
      <c r="E22" s="15">
        <v>21</v>
      </c>
      <c r="F22" s="15">
        <v>28</v>
      </c>
      <c r="G22" s="15">
        <v>42</v>
      </c>
      <c r="I22" s="18">
        <v>19</v>
      </c>
      <c r="J22" s="19"/>
    </row>
    <row r="23" spans="1:13" s="13" customFormat="1" ht="10.199999999999999" x14ac:dyDescent="0.2">
      <c r="A23" s="14">
        <v>38167</v>
      </c>
      <c r="B23" s="15">
        <v>19</v>
      </c>
      <c r="C23" s="15">
        <v>20</v>
      </c>
      <c r="D23" s="15">
        <v>24</v>
      </c>
      <c r="E23" s="15">
        <v>28</v>
      </c>
      <c r="F23" s="15">
        <v>38</v>
      </c>
      <c r="G23" s="15">
        <v>39</v>
      </c>
      <c r="I23" s="18">
        <v>20</v>
      </c>
      <c r="J23" s="19"/>
    </row>
    <row r="24" spans="1:13" s="13" customFormat="1" ht="10.199999999999999" x14ac:dyDescent="0.2">
      <c r="A24" s="14">
        <v>38168</v>
      </c>
      <c r="B24" s="15">
        <v>2</v>
      </c>
      <c r="C24" s="15">
        <v>8</v>
      </c>
      <c r="D24" s="15">
        <v>13</v>
      </c>
      <c r="E24" s="15">
        <v>19</v>
      </c>
      <c r="F24" s="15">
        <v>20</v>
      </c>
      <c r="G24" s="15">
        <v>27</v>
      </c>
      <c r="I24" s="18">
        <v>21</v>
      </c>
      <c r="J24" s="19"/>
      <c r="L24" s="94" t="s">
        <v>203</v>
      </c>
      <c r="M24" s="93"/>
    </row>
    <row r="25" spans="1:13" s="13" customFormat="1" ht="10.199999999999999" x14ac:dyDescent="0.2">
      <c r="A25" s="14">
        <v>38169</v>
      </c>
      <c r="B25" s="15">
        <v>7</v>
      </c>
      <c r="C25" s="15">
        <v>8</v>
      </c>
      <c r="D25" s="15">
        <v>21</v>
      </c>
      <c r="E25" s="15">
        <v>24</v>
      </c>
      <c r="F25" s="15">
        <v>30</v>
      </c>
      <c r="G25" s="15">
        <v>41</v>
      </c>
      <c r="I25" s="18">
        <v>22</v>
      </c>
      <c r="J25" s="19"/>
    </row>
    <row r="26" spans="1:13" s="13" customFormat="1" ht="10.199999999999999" x14ac:dyDescent="0.2">
      <c r="A26" s="14">
        <v>38170</v>
      </c>
      <c r="B26" s="15">
        <v>2</v>
      </c>
      <c r="C26" s="15">
        <v>4</v>
      </c>
      <c r="D26" s="15">
        <v>35</v>
      </c>
      <c r="E26" s="15">
        <v>36</v>
      </c>
      <c r="F26" s="15">
        <v>43</v>
      </c>
      <c r="G26" s="15">
        <v>45</v>
      </c>
      <c r="I26" s="18">
        <v>23</v>
      </c>
      <c r="J26" s="19"/>
    </row>
    <row r="27" spans="1:13" s="13" customFormat="1" ht="10.199999999999999" x14ac:dyDescent="0.2">
      <c r="A27" s="14">
        <v>38171</v>
      </c>
      <c r="B27" s="15">
        <v>1</v>
      </c>
      <c r="C27" s="15">
        <v>12</v>
      </c>
      <c r="D27" s="15">
        <v>21</v>
      </c>
      <c r="E27" s="15">
        <v>29</v>
      </c>
      <c r="F27" s="15">
        <v>35</v>
      </c>
      <c r="G27" s="15">
        <v>37</v>
      </c>
      <c r="I27" s="18">
        <v>24</v>
      </c>
      <c r="J27" s="19"/>
    </row>
    <row r="28" spans="1:13" s="13" customFormat="1" ht="10.199999999999999" x14ac:dyDescent="0.2">
      <c r="A28" s="14">
        <v>38172</v>
      </c>
      <c r="B28" s="15">
        <v>9</v>
      </c>
      <c r="C28" s="15">
        <v>21</v>
      </c>
      <c r="D28" s="15">
        <v>22</v>
      </c>
      <c r="E28" s="15">
        <v>31</v>
      </c>
      <c r="F28" s="15">
        <v>40</v>
      </c>
      <c r="G28" s="15">
        <v>48</v>
      </c>
      <c r="I28" s="18">
        <v>25</v>
      </c>
      <c r="J28" s="19"/>
    </row>
    <row r="29" spans="1:13" s="13" customFormat="1" ht="10.199999999999999" x14ac:dyDescent="0.2">
      <c r="A29" s="14">
        <v>38173</v>
      </c>
      <c r="B29" s="15">
        <v>2</v>
      </c>
      <c r="C29" s="15">
        <v>5</v>
      </c>
      <c r="D29" s="15">
        <v>11</v>
      </c>
      <c r="E29" s="15">
        <v>12</v>
      </c>
      <c r="F29" s="15">
        <v>24</v>
      </c>
      <c r="G29" s="15">
        <v>49</v>
      </c>
      <c r="I29" s="18">
        <v>26</v>
      </c>
      <c r="J29" s="19"/>
    </row>
    <row r="30" spans="1:13" s="13" customFormat="1" ht="10.199999999999999" x14ac:dyDescent="0.2">
      <c r="A30" s="14">
        <v>38174</v>
      </c>
      <c r="B30" s="15">
        <v>9</v>
      </c>
      <c r="C30" s="15">
        <v>17</v>
      </c>
      <c r="D30" s="15">
        <v>20</v>
      </c>
      <c r="E30" s="15">
        <v>21</v>
      </c>
      <c r="F30" s="15">
        <v>30</v>
      </c>
      <c r="G30" s="15">
        <v>31</v>
      </c>
      <c r="I30" s="18">
        <v>27</v>
      </c>
      <c r="J30" s="19"/>
    </row>
    <row r="31" spans="1:13" s="13" customFormat="1" ht="10.199999999999999" x14ac:dyDescent="0.2">
      <c r="A31" s="14">
        <v>38175</v>
      </c>
      <c r="B31" s="15">
        <v>13</v>
      </c>
      <c r="C31" s="15">
        <v>17</v>
      </c>
      <c r="D31" s="15">
        <v>18</v>
      </c>
      <c r="E31" s="15">
        <v>21</v>
      </c>
      <c r="F31" s="15">
        <v>25</v>
      </c>
      <c r="G31" s="15">
        <v>37</v>
      </c>
      <c r="I31" s="18">
        <v>28</v>
      </c>
      <c r="J31" s="19"/>
    </row>
    <row r="32" spans="1:13" s="13" customFormat="1" ht="10.199999999999999" x14ac:dyDescent="0.2">
      <c r="A32" s="14">
        <v>38176</v>
      </c>
      <c r="B32" s="15">
        <v>2</v>
      </c>
      <c r="C32" s="15">
        <v>18</v>
      </c>
      <c r="D32" s="15">
        <v>24</v>
      </c>
      <c r="E32" s="15">
        <v>25</v>
      </c>
      <c r="F32" s="15">
        <v>34</v>
      </c>
      <c r="G32" s="15">
        <v>48</v>
      </c>
      <c r="I32" s="18">
        <v>29</v>
      </c>
      <c r="J32" s="19"/>
    </row>
    <row r="33" spans="1:10" s="13" customFormat="1" ht="10.199999999999999" x14ac:dyDescent="0.2">
      <c r="A33" s="14">
        <v>38177</v>
      </c>
      <c r="B33" s="15">
        <v>1</v>
      </c>
      <c r="C33" s="15">
        <v>4</v>
      </c>
      <c r="D33" s="15">
        <v>5</v>
      </c>
      <c r="E33" s="15">
        <v>6</v>
      </c>
      <c r="F33" s="15">
        <v>9</v>
      </c>
      <c r="G33" s="15">
        <v>18</v>
      </c>
      <c r="I33" s="18">
        <v>30</v>
      </c>
      <c r="J33" s="19"/>
    </row>
    <row r="34" spans="1:10" s="13" customFormat="1" ht="10.199999999999999" x14ac:dyDescent="0.2">
      <c r="A34" s="14">
        <v>38178</v>
      </c>
      <c r="B34" s="15">
        <v>7</v>
      </c>
      <c r="C34" s="15">
        <v>25</v>
      </c>
      <c r="D34" s="15">
        <v>26</v>
      </c>
      <c r="E34" s="15">
        <v>38</v>
      </c>
      <c r="F34" s="15">
        <v>39</v>
      </c>
      <c r="G34" s="15">
        <v>47</v>
      </c>
      <c r="I34" s="18">
        <v>31</v>
      </c>
      <c r="J34" s="19"/>
    </row>
    <row r="35" spans="1:10" s="13" customFormat="1" ht="10.199999999999999" x14ac:dyDescent="0.2">
      <c r="A35" s="14">
        <v>38179</v>
      </c>
      <c r="B35" s="15">
        <v>12</v>
      </c>
      <c r="C35" s="15">
        <v>18</v>
      </c>
      <c r="D35" s="15">
        <v>22</v>
      </c>
      <c r="E35" s="15">
        <v>30</v>
      </c>
      <c r="F35" s="15">
        <v>38</v>
      </c>
      <c r="G35" s="15">
        <v>45</v>
      </c>
      <c r="I35" s="18">
        <v>32</v>
      </c>
      <c r="J35" s="19"/>
    </row>
    <row r="36" spans="1:10" s="13" customFormat="1" ht="10.199999999999999" x14ac:dyDescent="0.2">
      <c r="A36" s="14">
        <v>38180</v>
      </c>
      <c r="B36" s="15">
        <v>7</v>
      </c>
      <c r="C36" s="15">
        <v>22</v>
      </c>
      <c r="D36" s="15">
        <v>30</v>
      </c>
      <c r="E36" s="15">
        <v>35</v>
      </c>
      <c r="F36" s="15">
        <v>36</v>
      </c>
      <c r="G36" s="15">
        <v>44</v>
      </c>
      <c r="I36" s="18">
        <v>33</v>
      </c>
      <c r="J36" s="19"/>
    </row>
    <row r="37" spans="1:10" s="13" customFormat="1" ht="10.199999999999999" x14ac:dyDescent="0.2">
      <c r="A37" s="14">
        <v>38181</v>
      </c>
      <c r="B37" s="15">
        <v>1</v>
      </c>
      <c r="C37" s="15">
        <v>2</v>
      </c>
      <c r="D37" s="15">
        <v>12</v>
      </c>
      <c r="E37" s="15">
        <v>31</v>
      </c>
      <c r="F37" s="15">
        <v>40</v>
      </c>
      <c r="G37" s="15">
        <v>49</v>
      </c>
      <c r="I37" s="18">
        <v>34</v>
      </c>
      <c r="J37" s="19"/>
    </row>
    <row r="38" spans="1:10" s="13" customFormat="1" ht="10.199999999999999" x14ac:dyDescent="0.2">
      <c r="A38" s="14">
        <v>38182</v>
      </c>
      <c r="B38" s="15">
        <v>13</v>
      </c>
      <c r="C38" s="15">
        <v>19</v>
      </c>
      <c r="D38" s="15">
        <v>26</v>
      </c>
      <c r="E38" s="15">
        <v>28</v>
      </c>
      <c r="F38" s="15">
        <v>33</v>
      </c>
      <c r="G38" s="15">
        <v>36</v>
      </c>
      <c r="I38" s="18">
        <v>35</v>
      </c>
      <c r="J38" s="19"/>
    </row>
    <row r="39" spans="1:10" s="13" customFormat="1" ht="10.199999999999999" x14ac:dyDescent="0.2">
      <c r="A39" s="14">
        <v>38183</v>
      </c>
      <c r="B39" s="15">
        <v>7</v>
      </c>
      <c r="C39" s="15">
        <v>14</v>
      </c>
      <c r="D39" s="15">
        <v>24</v>
      </c>
      <c r="E39" s="15">
        <v>29</v>
      </c>
      <c r="F39" s="15">
        <v>34</v>
      </c>
      <c r="G39" s="15">
        <v>36</v>
      </c>
      <c r="I39" s="18">
        <v>36</v>
      </c>
      <c r="J39" s="19"/>
    </row>
    <row r="40" spans="1:10" s="13" customFormat="1" ht="10.199999999999999" x14ac:dyDescent="0.2">
      <c r="A40" s="14">
        <v>38184</v>
      </c>
      <c r="B40" s="15">
        <v>3</v>
      </c>
      <c r="C40" s="15">
        <v>5</v>
      </c>
      <c r="D40" s="15">
        <v>8</v>
      </c>
      <c r="E40" s="15">
        <v>19</v>
      </c>
      <c r="F40" s="15">
        <v>45</v>
      </c>
      <c r="G40" s="15">
        <v>46</v>
      </c>
      <c r="I40" s="18">
        <v>37</v>
      </c>
      <c r="J40" s="19"/>
    </row>
    <row r="41" spans="1:10" s="13" customFormat="1" ht="10.199999999999999" x14ac:dyDescent="0.2">
      <c r="A41" s="14">
        <v>38185</v>
      </c>
      <c r="B41" s="15">
        <v>11</v>
      </c>
      <c r="C41" s="15">
        <v>15</v>
      </c>
      <c r="D41" s="15">
        <v>22</v>
      </c>
      <c r="E41" s="15">
        <v>27</v>
      </c>
      <c r="F41" s="15">
        <v>42</v>
      </c>
      <c r="G41" s="15">
        <v>45</v>
      </c>
      <c r="I41" s="18">
        <v>38</v>
      </c>
      <c r="J41" s="19"/>
    </row>
    <row r="42" spans="1:10" s="13" customFormat="1" ht="10.199999999999999" x14ac:dyDescent="0.2">
      <c r="A42" s="14">
        <v>38186</v>
      </c>
      <c r="B42" s="15">
        <v>10</v>
      </c>
      <c r="C42" s="15">
        <v>20</v>
      </c>
      <c r="D42" s="15">
        <v>26</v>
      </c>
      <c r="E42" s="15">
        <v>30</v>
      </c>
      <c r="F42" s="15">
        <v>41</v>
      </c>
      <c r="G42" s="15">
        <v>46</v>
      </c>
      <c r="I42" s="18">
        <v>39</v>
      </c>
      <c r="J42" s="19"/>
    </row>
    <row r="43" spans="1:10" s="13" customFormat="1" ht="10.199999999999999" x14ac:dyDescent="0.2">
      <c r="A43" s="14">
        <v>38187</v>
      </c>
      <c r="B43" s="15">
        <v>1</v>
      </c>
      <c r="C43" s="15">
        <v>15</v>
      </c>
      <c r="D43" s="15">
        <v>21</v>
      </c>
      <c r="E43" s="15">
        <v>28</v>
      </c>
      <c r="F43" s="15">
        <v>34</v>
      </c>
      <c r="G43" s="15">
        <v>42</v>
      </c>
      <c r="I43" s="18">
        <v>40</v>
      </c>
      <c r="J43" s="19"/>
    </row>
    <row r="44" spans="1:10" s="13" customFormat="1" ht="10.199999999999999" x14ac:dyDescent="0.2">
      <c r="A44" s="14">
        <v>38188</v>
      </c>
      <c r="B44" s="15">
        <v>12</v>
      </c>
      <c r="C44" s="15">
        <v>17</v>
      </c>
      <c r="D44" s="15">
        <v>27</v>
      </c>
      <c r="E44" s="15">
        <v>28</v>
      </c>
      <c r="F44" s="15">
        <v>33</v>
      </c>
      <c r="G44" s="15">
        <v>48</v>
      </c>
      <c r="I44" s="18">
        <v>41</v>
      </c>
      <c r="J44" s="19"/>
    </row>
    <row r="45" spans="1:10" s="13" customFormat="1" ht="10.199999999999999" x14ac:dyDescent="0.2">
      <c r="A45" s="14">
        <v>38189</v>
      </c>
      <c r="B45" s="15">
        <v>4</v>
      </c>
      <c r="C45" s="15">
        <v>5</v>
      </c>
      <c r="D45" s="15">
        <v>27</v>
      </c>
      <c r="E45" s="15">
        <v>31</v>
      </c>
      <c r="F45" s="15">
        <v>44</v>
      </c>
      <c r="G45" s="15">
        <v>48</v>
      </c>
      <c r="I45" s="18">
        <v>42</v>
      </c>
      <c r="J45" s="19"/>
    </row>
    <row r="46" spans="1:10" s="13" customFormat="1" ht="10.199999999999999" x14ac:dyDescent="0.2">
      <c r="A46" s="14">
        <v>38190</v>
      </c>
      <c r="B46" s="15">
        <v>7</v>
      </c>
      <c r="C46" s="15">
        <v>12</v>
      </c>
      <c r="D46" s="15">
        <v>13</v>
      </c>
      <c r="E46" s="15">
        <v>16</v>
      </c>
      <c r="F46" s="15">
        <v>22</v>
      </c>
      <c r="G46" s="15">
        <v>39</v>
      </c>
      <c r="I46" s="18">
        <v>43</v>
      </c>
      <c r="J46" s="19"/>
    </row>
    <row r="47" spans="1:10" s="13" customFormat="1" ht="10.199999999999999" x14ac:dyDescent="0.2">
      <c r="A47" s="14">
        <v>38191</v>
      </c>
      <c r="B47" s="15">
        <v>2</v>
      </c>
      <c r="C47" s="15">
        <v>9</v>
      </c>
      <c r="D47" s="15">
        <v>21</v>
      </c>
      <c r="E47" s="15">
        <v>25</v>
      </c>
      <c r="F47" s="15">
        <v>34</v>
      </c>
      <c r="G47" s="15">
        <v>36</v>
      </c>
      <c r="I47" s="18">
        <v>44</v>
      </c>
      <c r="J47" s="19"/>
    </row>
    <row r="48" spans="1:10" s="13" customFormat="1" ht="10.199999999999999" x14ac:dyDescent="0.2">
      <c r="A48" s="14">
        <v>38192</v>
      </c>
      <c r="B48" s="15">
        <v>1</v>
      </c>
      <c r="C48" s="15">
        <v>9</v>
      </c>
      <c r="D48" s="15">
        <v>27</v>
      </c>
      <c r="E48" s="15">
        <v>36</v>
      </c>
      <c r="F48" s="15">
        <v>39</v>
      </c>
      <c r="G48" s="15">
        <v>42</v>
      </c>
      <c r="I48" s="18">
        <v>45</v>
      </c>
      <c r="J48" s="19"/>
    </row>
    <row r="49" spans="1:10" s="13" customFormat="1" ht="10.199999999999999" x14ac:dyDescent="0.2">
      <c r="A49" s="14">
        <v>38193</v>
      </c>
      <c r="B49" s="15">
        <v>7</v>
      </c>
      <c r="C49" s="15">
        <v>18</v>
      </c>
      <c r="D49" s="15">
        <v>34</v>
      </c>
      <c r="E49" s="15">
        <v>38</v>
      </c>
      <c r="F49" s="15">
        <v>43</v>
      </c>
      <c r="G49" s="15">
        <v>47</v>
      </c>
      <c r="I49" s="18">
        <v>46</v>
      </c>
      <c r="J49" s="19"/>
    </row>
    <row r="50" spans="1:10" s="13" customFormat="1" ht="10.199999999999999" x14ac:dyDescent="0.2">
      <c r="A50" s="14">
        <v>38194</v>
      </c>
      <c r="B50" s="15">
        <v>6</v>
      </c>
      <c r="C50" s="15">
        <v>17</v>
      </c>
      <c r="D50" s="15">
        <v>24</v>
      </c>
      <c r="E50" s="15">
        <v>34</v>
      </c>
      <c r="F50" s="15">
        <v>35</v>
      </c>
      <c r="G50" s="15">
        <v>49</v>
      </c>
      <c r="I50" s="18">
        <v>47</v>
      </c>
      <c r="J50" s="19"/>
    </row>
    <row r="51" spans="1:10" s="13" customFormat="1" ht="10.199999999999999" x14ac:dyDescent="0.2">
      <c r="A51" s="14">
        <v>38195</v>
      </c>
      <c r="B51" s="15">
        <v>14</v>
      </c>
      <c r="C51" s="15">
        <v>17</v>
      </c>
      <c r="D51" s="15">
        <v>31</v>
      </c>
      <c r="E51" s="15">
        <v>33</v>
      </c>
      <c r="F51" s="15">
        <v>38</v>
      </c>
      <c r="G51" s="15">
        <v>43</v>
      </c>
      <c r="I51" s="18">
        <v>48</v>
      </c>
      <c r="J51" s="19"/>
    </row>
    <row r="52" spans="1:10" s="13" customFormat="1" ht="10.8" thickBot="1" x14ac:dyDescent="0.25">
      <c r="A52" s="14">
        <v>38196</v>
      </c>
      <c r="B52" s="15">
        <v>1</v>
      </c>
      <c r="C52" s="15">
        <v>9</v>
      </c>
      <c r="D52" s="15">
        <v>11</v>
      </c>
      <c r="E52" s="15">
        <v>21</v>
      </c>
      <c r="F52" s="15">
        <v>23</v>
      </c>
      <c r="G52" s="15">
        <v>34</v>
      </c>
      <c r="I52" s="20">
        <v>49</v>
      </c>
      <c r="J52" s="21"/>
    </row>
    <row r="53" spans="1:10" ht="15.6" thickBot="1" x14ac:dyDescent="0.3">
      <c r="I53" s="95" t="s">
        <v>114</v>
      </c>
      <c r="J53" s="96"/>
    </row>
  </sheetData>
  <mergeCells count="2">
    <mergeCell ref="B2:G2"/>
    <mergeCell ref="I2:J2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4"/>
  <sheetViews>
    <sheetView topLeftCell="A4" workbookViewId="0">
      <selection activeCell="N16" sqref="N16"/>
    </sheetView>
  </sheetViews>
  <sheetFormatPr defaultRowHeight="13.2" x14ac:dyDescent="0.25"/>
  <cols>
    <col min="1" max="1" width="7.6640625" customWidth="1"/>
    <col min="2" max="2" width="11.44140625" customWidth="1"/>
    <col min="3" max="3" width="10.5546875" customWidth="1"/>
    <col min="5" max="5" width="11.109375" customWidth="1"/>
    <col min="6" max="6" width="10.33203125" customWidth="1"/>
    <col min="8" max="8" width="11.33203125" customWidth="1"/>
    <col min="9" max="9" width="10.6640625" customWidth="1"/>
    <col min="10" max="10" width="7.5546875" customWidth="1"/>
    <col min="11" max="11" width="11.109375" customWidth="1"/>
    <col min="12" max="12" width="14.109375" customWidth="1"/>
    <col min="13" max="13" width="20.33203125" customWidth="1"/>
    <col min="14" max="14" width="11" customWidth="1"/>
    <col min="15" max="15" width="10.6640625" customWidth="1"/>
    <col min="17" max="18" width="11.33203125" customWidth="1"/>
  </cols>
  <sheetData>
    <row r="1" spans="1:15" ht="17.399999999999999" x14ac:dyDescent="0.3">
      <c r="A1" s="157" t="s">
        <v>242</v>
      </c>
      <c r="B1" s="158"/>
      <c r="C1" s="158"/>
      <c r="D1" s="158"/>
      <c r="E1" s="158"/>
      <c r="F1" s="158"/>
      <c r="G1" s="158"/>
      <c r="H1" s="158"/>
      <c r="I1" s="158"/>
    </row>
    <row r="2" spans="1:15" ht="9" customHeight="1" x14ac:dyDescent="0.3">
      <c r="A2" s="105"/>
      <c r="B2" s="105"/>
      <c r="C2" s="105"/>
      <c r="D2" s="105"/>
      <c r="E2" s="105"/>
      <c r="F2" s="105"/>
      <c r="G2" s="105"/>
      <c r="H2" s="105"/>
      <c r="I2" s="105"/>
    </row>
    <row r="3" spans="1:15" x14ac:dyDescent="0.25">
      <c r="A3" s="98" t="s">
        <v>205</v>
      </c>
      <c r="B3" s="98" t="s">
        <v>209</v>
      </c>
      <c r="C3" s="99" t="s">
        <v>206</v>
      </c>
      <c r="D3" s="98" t="s">
        <v>207</v>
      </c>
      <c r="E3" s="98" t="s">
        <v>209</v>
      </c>
      <c r="F3" s="99" t="s">
        <v>206</v>
      </c>
      <c r="G3" s="101" t="s">
        <v>186</v>
      </c>
      <c r="H3" s="98" t="s">
        <v>209</v>
      </c>
      <c r="I3" s="99" t="s">
        <v>206</v>
      </c>
      <c r="L3" s="155" t="s">
        <v>210</v>
      </c>
      <c r="M3" s="155"/>
    </row>
    <row r="4" spans="1:15" x14ac:dyDescent="0.25">
      <c r="A4" s="6">
        <v>1</v>
      </c>
      <c r="B4" s="133" t="s">
        <v>181</v>
      </c>
      <c r="C4" s="135">
        <v>20</v>
      </c>
      <c r="D4" s="6">
        <v>1</v>
      </c>
      <c r="E4" t="s">
        <v>184</v>
      </c>
      <c r="F4" s="100"/>
      <c r="G4" s="6">
        <v>1</v>
      </c>
      <c r="H4" t="s">
        <v>180</v>
      </c>
      <c r="I4" s="100">
        <v>19</v>
      </c>
      <c r="J4" s="103"/>
      <c r="K4" s="102" t="s">
        <v>209</v>
      </c>
      <c r="L4" s="102" t="s">
        <v>250</v>
      </c>
      <c r="M4" s="102" t="s">
        <v>211</v>
      </c>
    </row>
    <row r="5" spans="1:15" x14ac:dyDescent="0.25">
      <c r="A5" s="6">
        <v>2</v>
      </c>
      <c r="B5" s="133" t="s">
        <v>182</v>
      </c>
      <c r="C5" s="135">
        <v>16</v>
      </c>
      <c r="D5" s="6">
        <v>2</v>
      </c>
      <c r="E5" s="97" t="s">
        <v>185</v>
      </c>
      <c r="F5" s="100"/>
      <c r="G5" s="6">
        <v>2</v>
      </c>
      <c r="H5" t="s">
        <v>181</v>
      </c>
      <c r="I5" s="100">
        <v>16</v>
      </c>
      <c r="J5" s="159" t="s">
        <v>205</v>
      </c>
      <c r="K5" s="106" t="s">
        <v>180</v>
      </c>
      <c r="L5" s="106"/>
      <c r="M5" s="104"/>
    </row>
    <row r="6" spans="1:15" x14ac:dyDescent="0.25">
      <c r="A6" s="6">
        <v>3</v>
      </c>
      <c r="B6" s="133" t="s">
        <v>183</v>
      </c>
      <c r="C6" s="135">
        <v>8</v>
      </c>
      <c r="D6" s="6">
        <v>3</v>
      </c>
      <c r="E6" s="97" t="s">
        <v>179</v>
      </c>
      <c r="F6" s="100"/>
      <c r="G6" s="6">
        <v>3</v>
      </c>
      <c r="H6" t="s">
        <v>182</v>
      </c>
      <c r="I6" s="100">
        <v>7</v>
      </c>
      <c r="J6" s="160"/>
      <c r="K6" s="106" t="s">
        <v>181</v>
      </c>
      <c r="L6" s="106"/>
      <c r="M6" s="104"/>
    </row>
    <row r="7" spans="1:15" x14ac:dyDescent="0.25">
      <c r="A7" s="6">
        <v>4</v>
      </c>
      <c r="B7" s="133" t="s">
        <v>184</v>
      </c>
      <c r="C7" s="135"/>
      <c r="D7" s="6">
        <v>4</v>
      </c>
      <c r="E7" t="s">
        <v>180</v>
      </c>
      <c r="F7" s="100">
        <v>24</v>
      </c>
      <c r="G7" s="6">
        <v>4</v>
      </c>
      <c r="H7" t="s">
        <v>183</v>
      </c>
      <c r="I7" s="100">
        <v>31</v>
      </c>
      <c r="J7" s="160"/>
      <c r="K7" s="106" t="s">
        <v>182</v>
      </c>
      <c r="L7" s="106"/>
      <c r="M7" s="104"/>
    </row>
    <row r="8" spans="1:15" x14ac:dyDescent="0.25">
      <c r="A8" s="6">
        <v>5</v>
      </c>
      <c r="B8" s="134" t="s">
        <v>185</v>
      </c>
      <c r="C8" s="135"/>
      <c r="D8" s="6">
        <v>5</v>
      </c>
      <c r="E8" t="s">
        <v>181</v>
      </c>
      <c r="F8" s="100">
        <v>21</v>
      </c>
      <c r="G8" s="6">
        <v>5</v>
      </c>
      <c r="H8" t="s">
        <v>184</v>
      </c>
      <c r="I8" s="100"/>
      <c r="J8" s="160"/>
      <c r="K8" s="106" t="s">
        <v>183</v>
      </c>
      <c r="L8" s="106"/>
      <c r="M8" s="104"/>
      <c r="O8" s="107"/>
    </row>
    <row r="9" spans="1:15" x14ac:dyDescent="0.25">
      <c r="A9" s="6">
        <v>6</v>
      </c>
      <c r="B9" s="134" t="s">
        <v>179</v>
      </c>
      <c r="C9" s="135"/>
      <c r="D9" s="6">
        <v>6</v>
      </c>
      <c r="E9" t="s">
        <v>182</v>
      </c>
      <c r="F9" s="100">
        <v>20</v>
      </c>
      <c r="G9" s="6">
        <v>6</v>
      </c>
      <c r="H9" s="97" t="s">
        <v>185</v>
      </c>
      <c r="I9" s="100"/>
      <c r="J9" s="159" t="s">
        <v>207</v>
      </c>
      <c r="K9" s="106" t="s">
        <v>180</v>
      </c>
      <c r="L9" s="106"/>
      <c r="M9" s="104"/>
    </row>
    <row r="10" spans="1:15" x14ac:dyDescent="0.25">
      <c r="A10" s="6">
        <v>7</v>
      </c>
      <c r="B10" s="133" t="s">
        <v>180</v>
      </c>
      <c r="C10" s="135">
        <v>13</v>
      </c>
      <c r="D10" s="6">
        <v>7</v>
      </c>
      <c r="E10" t="s">
        <v>183</v>
      </c>
      <c r="F10" s="100">
        <v>22</v>
      </c>
      <c r="G10" s="6">
        <v>7</v>
      </c>
      <c r="H10" s="97" t="s">
        <v>179</v>
      </c>
      <c r="I10" s="100"/>
      <c r="J10" s="160"/>
      <c r="K10" s="106" t="s">
        <v>181</v>
      </c>
      <c r="L10" s="104"/>
      <c r="M10" s="104"/>
    </row>
    <row r="11" spans="1:15" x14ac:dyDescent="0.25">
      <c r="A11" s="6">
        <v>8</v>
      </c>
      <c r="B11" s="133" t="s">
        <v>181</v>
      </c>
      <c r="C11" s="135">
        <v>21</v>
      </c>
      <c r="D11" s="6">
        <v>8</v>
      </c>
      <c r="E11" t="s">
        <v>184</v>
      </c>
      <c r="F11" s="100"/>
      <c r="G11" s="6">
        <v>8</v>
      </c>
      <c r="H11" t="s">
        <v>180</v>
      </c>
      <c r="I11" s="100">
        <v>16</v>
      </c>
      <c r="J11" s="160"/>
      <c r="K11" s="106" t="s">
        <v>182</v>
      </c>
      <c r="L11" s="104"/>
      <c r="M11" s="104"/>
    </row>
    <row r="12" spans="1:15" x14ac:dyDescent="0.25">
      <c r="A12" s="6">
        <v>9</v>
      </c>
      <c r="B12" s="133" t="s">
        <v>182</v>
      </c>
      <c r="C12" s="135">
        <v>10</v>
      </c>
      <c r="D12" s="6">
        <v>9</v>
      </c>
      <c r="E12" s="97" t="s">
        <v>185</v>
      </c>
      <c r="F12" s="100"/>
      <c r="G12" s="6">
        <v>9</v>
      </c>
      <c r="H12" t="s">
        <v>181</v>
      </c>
      <c r="I12" s="100">
        <v>25</v>
      </c>
      <c r="J12" s="160"/>
      <c r="K12" s="106" t="s">
        <v>183</v>
      </c>
      <c r="L12" s="104"/>
      <c r="M12" s="104"/>
    </row>
    <row r="13" spans="1:15" ht="13.2" customHeight="1" x14ac:dyDescent="0.25">
      <c r="A13" s="6">
        <v>10</v>
      </c>
      <c r="B13" s="133" t="s">
        <v>183</v>
      </c>
      <c r="C13" s="135">
        <v>16</v>
      </c>
      <c r="D13" s="6">
        <v>10</v>
      </c>
      <c r="E13" s="97" t="s">
        <v>179</v>
      </c>
      <c r="F13" s="100"/>
      <c r="G13" s="6">
        <v>10</v>
      </c>
      <c r="H13" t="s">
        <v>182</v>
      </c>
      <c r="I13" s="100">
        <v>18</v>
      </c>
      <c r="J13" s="161" t="s">
        <v>208</v>
      </c>
      <c r="K13" s="106" t="s">
        <v>180</v>
      </c>
      <c r="L13" s="104"/>
      <c r="M13" s="104"/>
    </row>
    <row r="14" spans="1:15" x14ac:dyDescent="0.25">
      <c r="A14" s="6">
        <v>11</v>
      </c>
      <c r="B14" s="133" t="s">
        <v>184</v>
      </c>
      <c r="C14" s="135"/>
      <c r="D14" s="6">
        <v>11</v>
      </c>
      <c r="E14" t="s">
        <v>180</v>
      </c>
      <c r="F14" s="100">
        <v>14</v>
      </c>
      <c r="G14" s="6">
        <v>11</v>
      </c>
      <c r="H14" t="s">
        <v>183</v>
      </c>
      <c r="I14" s="100">
        <v>18</v>
      </c>
      <c r="J14" s="162"/>
      <c r="K14" s="106" t="s">
        <v>181</v>
      </c>
      <c r="L14" s="104"/>
      <c r="M14" s="104"/>
    </row>
    <row r="15" spans="1:15" x14ac:dyDescent="0.25">
      <c r="A15" s="6">
        <v>12</v>
      </c>
      <c r="B15" s="134" t="s">
        <v>185</v>
      </c>
      <c r="C15" s="135"/>
      <c r="D15" s="6">
        <v>12</v>
      </c>
      <c r="E15" t="s">
        <v>181</v>
      </c>
      <c r="F15" s="100">
        <v>19</v>
      </c>
      <c r="G15" s="6">
        <v>12</v>
      </c>
      <c r="H15" t="s">
        <v>184</v>
      </c>
      <c r="I15" s="100"/>
      <c r="J15" s="162"/>
      <c r="K15" s="106" t="s">
        <v>182</v>
      </c>
      <c r="L15" s="104"/>
      <c r="M15" s="104"/>
    </row>
    <row r="16" spans="1:15" x14ac:dyDescent="0.25">
      <c r="A16" s="6">
        <v>13</v>
      </c>
      <c r="B16" s="134" t="s">
        <v>179</v>
      </c>
      <c r="C16" s="135"/>
      <c r="D16" s="6">
        <v>13</v>
      </c>
      <c r="E16" t="s">
        <v>182</v>
      </c>
      <c r="F16" s="100">
        <v>16</v>
      </c>
      <c r="G16" s="6">
        <v>13</v>
      </c>
      <c r="H16" s="97" t="s">
        <v>185</v>
      </c>
      <c r="I16" s="100"/>
      <c r="J16" s="162"/>
      <c r="K16" s="106" t="s">
        <v>183</v>
      </c>
      <c r="L16" s="104"/>
      <c r="M16" s="104"/>
    </row>
    <row r="17" spans="1:17" x14ac:dyDescent="0.25">
      <c r="A17" s="6">
        <v>14</v>
      </c>
      <c r="B17" s="133" t="s">
        <v>180</v>
      </c>
      <c r="C17" s="135">
        <v>18</v>
      </c>
      <c r="D17" s="6">
        <v>14</v>
      </c>
      <c r="E17" t="s">
        <v>183</v>
      </c>
      <c r="F17" s="100">
        <v>17</v>
      </c>
      <c r="G17" s="6">
        <v>14</v>
      </c>
      <c r="H17" s="97" t="s">
        <v>179</v>
      </c>
      <c r="I17" s="100"/>
    </row>
    <row r="18" spans="1:17" x14ac:dyDescent="0.25">
      <c r="A18" s="6">
        <v>15</v>
      </c>
      <c r="B18" s="133" t="s">
        <v>181</v>
      </c>
      <c r="C18" s="135">
        <v>16</v>
      </c>
      <c r="D18" s="6">
        <v>15</v>
      </c>
      <c r="E18" s="97" t="s">
        <v>184</v>
      </c>
      <c r="F18" s="100"/>
      <c r="G18" s="6">
        <v>15</v>
      </c>
      <c r="H18" t="s">
        <v>180</v>
      </c>
      <c r="I18" s="100">
        <v>26</v>
      </c>
    </row>
    <row r="19" spans="1:17" x14ac:dyDescent="0.25">
      <c r="A19" s="6">
        <v>16</v>
      </c>
      <c r="B19" s="133" t="s">
        <v>182</v>
      </c>
      <c r="C19" s="135">
        <v>14</v>
      </c>
      <c r="D19" s="6">
        <v>16</v>
      </c>
      <c r="E19" s="97" t="s">
        <v>185</v>
      </c>
      <c r="F19" s="100"/>
      <c r="G19" s="6">
        <v>16</v>
      </c>
      <c r="H19" t="s">
        <v>181</v>
      </c>
      <c r="I19" s="100">
        <v>25</v>
      </c>
      <c r="J19" s="156" t="s">
        <v>212</v>
      </c>
      <c r="K19" s="106" t="s">
        <v>180</v>
      </c>
      <c r="L19" s="104"/>
      <c r="M19" s="55"/>
    </row>
    <row r="20" spans="1:17" x14ac:dyDescent="0.25">
      <c r="A20" s="6">
        <v>17</v>
      </c>
      <c r="B20" s="133" t="s">
        <v>183</v>
      </c>
      <c r="C20" s="135">
        <v>31</v>
      </c>
      <c r="D20" s="6">
        <v>17</v>
      </c>
      <c r="E20" s="97" t="s">
        <v>179</v>
      </c>
      <c r="F20" s="100"/>
      <c r="G20" s="6">
        <v>17</v>
      </c>
      <c r="H20" t="s">
        <v>182</v>
      </c>
      <c r="I20" s="100">
        <v>22</v>
      </c>
      <c r="J20" s="156"/>
      <c r="K20" s="106" t="s">
        <v>181</v>
      </c>
      <c r="L20" s="104"/>
      <c r="M20" s="55"/>
    </row>
    <row r="21" spans="1:17" x14ac:dyDescent="0.25">
      <c r="A21" s="6">
        <v>18</v>
      </c>
      <c r="B21" s="133" t="s">
        <v>184</v>
      </c>
      <c r="C21" s="135"/>
      <c r="D21" s="6">
        <v>18</v>
      </c>
      <c r="E21" t="s">
        <v>180</v>
      </c>
      <c r="F21" s="100">
        <v>21</v>
      </c>
      <c r="G21" s="6">
        <v>18</v>
      </c>
      <c r="H21" t="s">
        <v>183</v>
      </c>
      <c r="I21" s="100">
        <v>33</v>
      </c>
      <c r="J21" s="156"/>
      <c r="K21" s="106" t="s">
        <v>182</v>
      </c>
      <c r="L21" s="104"/>
      <c r="M21" s="55"/>
    </row>
    <row r="22" spans="1:17" x14ac:dyDescent="0.25">
      <c r="A22" s="6">
        <v>19</v>
      </c>
      <c r="B22" s="134" t="s">
        <v>185</v>
      </c>
      <c r="C22" s="135"/>
      <c r="D22" s="6">
        <v>19</v>
      </c>
      <c r="E22" t="s">
        <v>181</v>
      </c>
      <c r="F22" s="100">
        <v>20</v>
      </c>
      <c r="G22" s="6">
        <v>19</v>
      </c>
      <c r="H22" t="s">
        <v>184</v>
      </c>
      <c r="I22" s="100"/>
      <c r="J22" s="156"/>
      <c r="K22" s="106" t="s">
        <v>183</v>
      </c>
      <c r="L22" s="104"/>
      <c r="M22" s="55"/>
    </row>
    <row r="23" spans="1:17" x14ac:dyDescent="0.25">
      <c r="A23" s="6">
        <v>20</v>
      </c>
      <c r="B23" s="134" t="s">
        <v>179</v>
      </c>
      <c r="C23" s="135"/>
      <c r="D23" s="6">
        <v>20</v>
      </c>
      <c r="E23" t="s">
        <v>182</v>
      </c>
      <c r="F23" s="100">
        <v>71</v>
      </c>
      <c r="G23" s="6">
        <v>20</v>
      </c>
      <c r="H23" s="97" t="s">
        <v>185</v>
      </c>
      <c r="I23" s="100"/>
    </row>
    <row r="24" spans="1:17" x14ac:dyDescent="0.25">
      <c r="A24" s="6">
        <v>21</v>
      </c>
      <c r="B24" s="133" t="s">
        <v>180</v>
      </c>
      <c r="C24" s="135">
        <v>28</v>
      </c>
      <c r="D24" s="6">
        <v>21</v>
      </c>
      <c r="E24" t="s">
        <v>183</v>
      </c>
      <c r="F24" s="100">
        <v>12</v>
      </c>
      <c r="G24" s="6">
        <v>21</v>
      </c>
      <c r="H24" s="97" t="s">
        <v>179</v>
      </c>
      <c r="I24" s="100"/>
    </row>
    <row r="25" spans="1:17" x14ac:dyDescent="0.25">
      <c r="A25" s="6">
        <v>22</v>
      </c>
      <c r="B25" s="133" t="s">
        <v>181</v>
      </c>
      <c r="C25" s="135">
        <v>18</v>
      </c>
      <c r="D25" s="6">
        <v>22</v>
      </c>
      <c r="E25" t="s">
        <v>184</v>
      </c>
      <c r="F25" s="100"/>
      <c r="G25" s="6">
        <v>22</v>
      </c>
      <c r="H25" t="s">
        <v>180</v>
      </c>
      <c r="I25" s="100">
        <v>18</v>
      </c>
    </row>
    <row r="26" spans="1:17" x14ac:dyDescent="0.25">
      <c r="A26" s="6">
        <v>23</v>
      </c>
      <c r="B26" s="133" t="s">
        <v>182</v>
      </c>
      <c r="C26" s="135">
        <v>21</v>
      </c>
      <c r="D26" s="6">
        <v>23</v>
      </c>
      <c r="E26" s="97" t="s">
        <v>185</v>
      </c>
      <c r="F26" s="100"/>
      <c r="G26" s="6">
        <v>23</v>
      </c>
      <c r="H26" t="s">
        <v>181</v>
      </c>
      <c r="I26" s="100">
        <v>16</v>
      </c>
    </row>
    <row r="27" spans="1:17" x14ac:dyDescent="0.25">
      <c r="A27" s="6">
        <v>24</v>
      </c>
      <c r="B27" s="133" t="s">
        <v>183</v>
      </c>
      <c r="C27" s="135">
        <v>15</v>
      </c>
      <c r="D27" s="6">
        <v>24</v>
      </c>
      <c r="E27" s="97" t="s">
        <v>179</v>
      </c>
      <c r="F27" s="100"/>
      <c r="G27" s="6">
        <v>24</v>
      </c>
      <c r="H27" t="s">
        <v>182</v>
      </c>
      <c r="I27" s="100">
        <v>17</v>
      </c>
    </row>
    <row r="28" spans="1:17" x14ac:dyDescent="0.25">
      <c r="A28" s="6">
        <v>25</v>
      </c>
      <c r="B28" s="133" t="s">
        <v>184</v>
      </c>
      <c r="C28" s="135"/>
      <c r="D28" s="6">
        <v>25</v>
      </c>
      <c r="E28" t="s">
        <v>180</v>
      </c>
      <c r="F28" s="100">
        <v>22</v>
      </c>
      <c r="G28" s="6">
        <v>25</v>
      </c>
      <c r="H28" t="s">
        <v>183</v>
      </c>
      <c r="I28" s="100">
        <v>22</v>
      </c>
    </row>
    <row r="29" spans="1:17" x14ac:dyDescent="0.25">
      <c r="A29" s="6">
        <v>26</v>
      </c>
      <c r="B29" s="134" t="s">
        <v>185</v>
      </c>
      <c r="C29" s="135"/>
      <c r="D29" s="6">
        <v>26</v>
      </c>
      <c r="E29" t="s">
        <v>181</v>
      </c>
      <c r="F29" s="100">
        <v>14</v>
      </c>
      <c r="G29" s="6">
        <v>26</v>
      </c>
      <c r="H29" t="s">
        <v>184</v>
      </c>
      <c r="I29" s="100"/>
    </row>
    <row r="30" spans="1:17" x14ac:dyDescent="0.25">
      <c r="A30" s="6">
        <v>27</v>
      </c>
      <c r="B30" s="134" t="s">
        <v>179</v>
      </c>
      <c r="C30" s="135"/>
      <c r="D30" s="6">
        <v>27</v>
      </c>
      <c r="E30" t="s">
        <v>182</v>
      </c>
      <c r="F30" s="100">
        <v>7</v>
      </c>
      <c r="G30" s="6">
        <v>27</v>
      </c>
      <c r="H30" s="97" t="s">
        <v>185</v>
      </c>
      <c r="I30" s="100"/>
      <c r="Q30">
        <f>SUMIF($C$4:$C$34,"&gt;20",C4:C34)</f>
        <v>128</v>
      </c>
    </row>
    <row r="31" spans="1:17" x14ac:dyDescent="0.25">
      <c r="A31" s="6">
        <v>28</v>
      </c>
      <c r="B31" s="133" t="s">
        <v>180</v>
      </c>
      <c r="C31" s="135">
        <v>27</v>
      </c>
      <c r="D31" s="6">
        <v>28</v>
      </c>
      <c r="E31" t="s">
        <v>183</v>
      </c>
      <c r="F31" s="100">
        <v>10</v>
      </c>
      <c r="G31" s="6">
        <v>28</v>
      </c>
      <c r="H31" s="97" t="s">
        <v>179</v>
      </c>
      <c r="I31" s="100"/>
    </row>
    <row r="32" spans="1:17" x14ac:dyDescent="0.25">
      <c r="A32" s="6">
        <v>29</v>
      </c>
      <c r="B32" s="133" t="s">
        <v>181</v>
      </c>
      <c r="C32" s="135">
        <v>17</v>
      </c>
      <c r="D32" s="6">
        <v>29</v>
      </c>
      <c r="E32" t="s">
        <v>184</v>
      </c>
      <c r="F32" s="100"/>
      <c r="G32" s="6">
        <v>29</v>
      </c>
      <c r="H32" t="s">
        <v>180</v>
      </c>
      <c r="I32" s="100">
        <v>23</v>
      </c>
    </row>
    <row r="33" spans="1:9" x14ac:dyDescent="0.25">
      <c r="A33" s="6">
        <v>30</v>
      </c>
      <c r="B33" s="133" t="s">
        <v>182</v>
      </c>
      <c r="C33" s="135">
        <v>14</v>
      </c>
      <c r="D33" s="6">
        <v>30</v>
      </c>
      <c r="E33" s="97" t="s">
        <v>185</v>
      </c>
      <c r="F33" s="100"/>
      <c r="G33" s="6">
        <v>30</v>
      </c>
      <c r="H33" t="s">
        <v>181</v>
      </c>
      <c r="I33" s="100">
        <v>19</v>
      </c>
    </row>
    <row r="34" spans="1:9" x14ac:dyDescent="0.25">
      <c r="A34" s="6">
        <v>31</v>
      </c>
      <c r="B34" s="133" t="s">
        <v>183</v>
      </c>
      <c r="C34" s="135">
        <v>7</v>
      </c>
      <c r="D34" s="6">
        <v>31</v>
      </c>
      <c r="E34" s="97" t="s">
        <v>179</v>
      </c>
      <c r="F34" s="100"/>
      <c r="G34" s="6"/>
      <c r="I34" s="100"/>
    </row>
  </sheetData>
  <mergeCells count="6">
    <mergeCell ref="L3:M3"/>
    <mergeCell ref="J19:J22"/>
    <mergeCell ref="A1:I1"/>
    <mergeCell ref="J5:J8"/>
    <mergeCell ref="J9:J12"/>
    <mergeCell ref="J13:J16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8"/>
  <dimension ref="A1:G38"/>
  <sheetViews>
    <sheetView workbookViewId="0">
      <selection activeCell="I10" sqref="I10"/>
    </sheetView>
  </sheetViews>
  <sheetFormatPr defaultRowHeight="13.2" x14ac:dyDescent="0.25"/>
  <cols>
    <col min="1" max="1" width="12.33203125" bestFit="1" customWidth="1"/>
    <col min="2" max="2" width="13.33203125" customWidth="1"/>
    <col min="3" max="3" width="15" customWidth="1"/>
    <col min="4" max="4" width="8.109375" customWidth="1"/>
    <col min="6" max="6" width="10.44140625" customWidth="1"/>
    <col min="7" max="7" width="15.33203125" customWidth="1"/>
  </cols>
  <sheetData>
    <row r="1" spans="1:7" x14ac:dyDescent="0.25">
      <c r="A1" s="22" t="s">
        <v>238</v>
      </c>
      <c r="B1" s="23"/>
      <c r="C1" s="23"/>
      <c r="D1" s="24"/>
      <c r="F1" t="s">
        <v>239</v>
      </c>
    </row>
    <row r="2" spans="1:7" x14ac:dyDescent="0.25">
      <c r="A2" s="25" t="s">
        <v>108</v>
      </c>
      <c r="B2" s="163" t="s">
        <v>237</v>
      </c>
      <c r="C2" s="164"/>
      <c r="D2" s="165"/>
      <c r="F2" s="168" t="s">
        <v>109</v>
      </c>
      <c r="G2" s="169"/>
    </row>
    <row r="3" spans="1:7" ht="12.75" customHeight="1" x14ac:dyDescent="0.25">
      <c r="A3" s="132" t="s">
        <v>110</v>
      </c>
      <c r="B3" s="132" t="s">
        <v>236</v>
      </c>
      <c r="C3" s="132" t="s">
        <v>235</v>
      </c>
      <c r="D3" s="132" t="s">
        <v>111</v>
      </c>
      <c r="F3" s="170" t="s">
        <v>234</v>
      </c>
      <c r="G3" s="171"/>
    </row>
    <row r="4" spans="1:7" x14ac:dyDescent="0.25">
      <c r="A4" s="26">
        <v>43709</v>
      </c>
      <c r="B4" s="130">
        <v>49</v>
      </c>
      <c r="C4" s="130">
        <v>73</v>
      </c>
      <c r="D4" s="131"/>
      <c r="F4" s="166" t="s">
        <v>195</v>
      </c>
      <c r="G4" s="167"/>
    </row>
    <row r="5" spans="1:7" x14ac:dyDescent="0.25">
      <c r="A5" s="26">
        <v>43710</v>
      </c>
      <c r="B5" s="130">
        <v>55</v>
      </c>
      <c r="C5" s="130">
        <v>70</v>
      </c>
      <c r="D5" s="131"/>
      <c r="F5" s="28" t="s">
        <v>112</v>
      </c>
      <c r="G5" s="29" t="s">
        <v>113</v>
      </c>
    </row>
    <row r="6" spans="1:7" x14ac:dyDescent="0.25">
      <c r="A6" s="26">
        <v>43711</v>
      </c>
      <c r="B6" s="130">
        <v>63</v>
      </c>
      <c r="C6" s="130">
        <v>89</v>
      </c>
      <c r="D6" s="131"/>
      <c r="F6" s="30">
        <v>130</v>
      </c>
      <c r="G6" s="27"/>
    </row>
    <row r="7" spans="1:7" x14ac:dyDescent="0.25">
      <c r="A7" s="26">
        <v>43712</v>
      </c>
      <c r="B7" s="130">
        <v>65</v>
      </c>
      <c r="C7" s="130">
        <v>96</v>
      </c>
      <c r="D7" s="131"/>
      <c r="F7" s="30">
        <v>140</v>
      </c>
      <c r="G7" s="27"/>
    </row>
    <row r="8" spans="1:7" x14ac:dyDescent="0.25">
      <c r="A8" s="26">
        <v>43713</v>
      </c>
      <c r="B8" s="130">
        <v>70</v>
      </c>
      <c r="C8" s="130">
        <v>86</v>
      </c>
      <c r="D8" s="131"/>
      <c r="F8" s="30">
        <v>150</v>
      </c>
      <c r="G8" s="27"/>
    </row>
    <row r="9" spans="1:7" x14ac:dyDescent="0.25">
      <c r="A9" s="26">
        <v>43714</v>
      </c>
      <c r="B9" s="130">
        <v>70</v>
      </c>
      <c r="C9" s="130">
        <v>79</v>
      </c>
      <c r="D9" s="131"/>
      <c r="F9" s="30">
        <v>160</v>
      </c>
      <c r="G9" s="27"/>
    </row>
    <row r="10" spans="1:7" x14ac:dyDescent="0.25">
      <c r="A10" s="26">
        <v>43715</v>
      </c>
      <c r="B10" s="130">
        <v>79</v>
      </c>
      <c r="C10" s="130">
        <v>84</v>
      </c>
      <c r="D10" s="131"/>
      <c r="F10" s="30">
        <v>170</v>
      </c>
      <c r="G10" s="27"/>
    </row>
    <row r="11" spans="1:7" x14ac:dyDescent="0.25">
      <c r="A11" s="26">
        <v>43716</v>
      </c>
      <c r="B11" s="130">
        <v>86</v>
      </c>
      <c r="C11" s="130">
        <v>88</v>
      </c>
      <c r="D11" s="131"/>
      <c r="F11" s="30">
        <v>180</v>
      </c>
      <c r="G11" s="27"/>
    </row>
    <row r="12" spans="1:7" x14ac:dyDescent="0.25">
      <c r="A12" s="26">
        <v>43717</v>
      </c>
      <c r="B12" s="130">
        <v>53</v>
      </c>
      <c r="C12" s="130">
        <v>91</v>
      </c>
      <c r="D12" s="131"/>
      <c r="F12" s="30">
        <v>190</v>
      </c>
      <c r="G12" s="27"/>
    </row>
    <row r="13" spans="1:7" x14ac:dyDescent="0.25">
      <c r="A13" s="26">
        <v>43718</v>
      </c>
      <c r="B13" s="130">
        <v>55</v>
      </c>
      <c r="C13" s="130">
        <v>67</v>
      </c>
      <c r="D13" s="131"/>
      <c r="F13" s="30">
        <v>200</v>
      </c>
      <c r="G13" s="27"/>
    </row>
    <row r="14" spans="1:7" x14ac:dyDescent="0.25">
      <c r="A14" s="26">
        <v>43719</v>
      </c>
      <c r="B14" s="130">
        <v>62</v>
      </c>
      <c r="C14" s="130">
        <v>72</v>
      </c>
      <c r="D14" s="131"/>
    </row>
    <row r="15" spans="1:7" x14ac:dyDescent="0.25">
      <c r="A15" s="26">
        <v>43720</v>
      </c>
      <c r="B15" s="130">
        <v>65</v>
      </c>
      <c r="C15" s="130">
        <v>77</v>
      </c>
      <c r="D15" s="131"/>
    </row>
    <row r="16" spans="1:7" x14ac:dyDescent="0.25">
      <c r="A16" s="26">
        <v>43721</v>
      </c>
      <c r="B16" s="130">
        <v>70</v>
      </c>
      <c r="C16" s="130">
        <v>69</v>
      </c>
      <c r="D16" s="131"/>
    </row>
    <row r="17" spans="1:4" x14ac:dyDescent="0.25">
      <c r="A17" s="26">
        <v>43722</v>
      </c>
      <c r="B17" s="130">
        <v>75</v>
      </c>
      <c r="C17" s="130">
        <v>86</v>
      </c>
      <c r="D17" s="131"/>
    </row>
    <row r="18" spans="1:4" x14ac:dyDescent="0.25">
      <c r="A18" s="26">
        <v>43723</v>
      </c>
      <c r="B18" s="130">
        <v>82</v>
      </c>
      <c r="C18" s="130">
        <v>99</v>
      </c>
      <c r="D18" s="131"/>
    </row>
    <row r="19" spans="1:4" x14ac:dyDescent="0.25">
      <c r="A19" s="26">
        <v>43724</v>
      </c>
      <c r="B19" s="130">
        <v>87</v>
      </c>
      <c r="C19" s="130">
        <v>106</v>
      </c>
      <c r="D19" s="131"/>
    </row>
    <row r="20" spans="1:4" x14ac:dyDescent="0.25">
      <c r="A20" s="26">
        <v>43725</v>
      </c>
      <c r="B20" s="130">
        <v>54</v>
      </c>
      <c r="C20" s="130">
        <v>110</v>
      </c>
      <c r="D20" s="131"/>
    </row>
    <row r="21" spans="1:4" x14ac:dyDescent="0.25">
      <c r="A21" s="26">
        <v>43726</v>
      </c>
      <c r="B21" s="130">
        <v>54</v>
      </c>
      <c r="C21" s="130">
        <v>95</v>
      </c>
      <c r="D21" s="131"/>
    </row>
    <row r="22" spans="1:4" x14ac:dyDescent="0.25">
      <c r="A22" s="26">
        <v>43727</v>
      </c>
      <c r="B22" s="130">
        <v>62</v>
      </c>
      <c r="C22" s="130">
        <v>96</v>
      </c>
      <c r="D22" s="131"/>
    </row>
    <row r="23" spans="1:4" x14ac:dyDescent="0.25">
      <c r="A23" s="26">
        <v>43728</v>
      </c>
      <c r="B23" s="130">
        <v>66</v>
      </c>
      <c r="C23" s="130">
        <v>87</v>
      </c>
      <c r="D23" s="131"/>
    </row>
    <row r="24" spans="1:4" x14ac:dyDescent="0.25">
      <c r="A24" s="26">
        <v>43729</v>
      </c>
      <c r="B24" s="130">
        <v>62</v>
      </c>
      <c r="C24" s="130">
        <v>72</v>
      </c>
      <c r="D24" s="131"/>
    </row>
    <row r="25" spans="1:4" x14ac:dyDescent="0.25">
      <c r="A25" s="26">
        <v>43730</v>
      </c>
      <c r="B25" s="130">
        <v>65</v>
      </c>
      <c r="C25" s="130">
        <v>77</v>
      </c>
      <c r="D25" s="131"/>
    </row>
    <row r="26" spans="1:4" x14ac:dyDescent="0.25">
      <c r="A26" s="26">
        <v>43731</v>
      </c>
      <c r="B26" s="130">
        <v>70</v>
      </c>
      <c r="C26" s="130">
        <v>69</v>
      </c>
      <c r="D26" s="131"/>
    </row>
    <row r="27" spans="1:4" x14ac:dyDescent="0.25">
      <c r="A27" s="26">
        <v>43732</v>
      </c>
      <c r="B27" s="130">
        <v>70</v>
      </c>
      <c r="C27" s="130">
        <v>86</v>
      </c>
      <c r="D27" s="131"/>
    </row>
    <row r="28" spans="1:4" x14ac:dyDescent="0.25">
      <c r="A28" s="26">
        <v>43733</v>
      </c>
      <c r="B28" s="130">
        <v>82</v>
      </c>
      <c r="C28" s="130">
        <v>99</v>
      </c>
      <c r="D28" s="131"/>
    </row>
    <row r="29" spans="1:4" x14ac:dyDescent="0.25">
      <c r="A29" s="26">
        <v>43734</v>
      </c>
      <c r="B29" s="130">
        <v>87</v>
      </c>
      <c r="C29" s="130">
        <v>106</v>
      </c>
      <c r="D29" s="131"/>
    </row>
    <row r="30" spans="1:4" x14ac:dyDescent="0.25">
      <c r="A30" s="26">
        <v>43735</v>
      </c>
      <c r="B30" s="130">
        <v>70</v>
      </c>
      <c r="C30" s="130">
        <v>69</v>
      </c>
      <c r="D30" s="131"/>
    </row>
    <row r="31" spans="1:4" x14ac:dyDescent="0.25">
      <c r="A31" s="26">
        <v>43736</v>
      </c>
      <c r="B31" s="130">
        <v>75</v>
      </c>
      <c r="C31" s="130">
        <v>85</v>
      </c>
      <c r="D31" s="131"/>
    </row>
    <row r="32" spans="1:4" x14ac:dyDescent="0.25">
      <c r="A32" s="26">
        <v>43737</v>
      </c>
      <c r="B32" s="130">
        <v>82</v>
      </c>
      <c r="C32" s="130">
        <v>100</v>
      </c>
      <c r="D32" s="131"/>
    </row>
    <row r="33" spans="1:4" x14ac:dyDescent="0.25">
      <c r="A33" s="26">
        <v>43738</v>
      </c>
      <c r="B33" s="130">
        <v>77</v>
      </c>
      <c r="C33" s="130">
        <v>82</v>
      </c>
      <c r="D33" s="131"/>
    </row>
    <row r="34" spans="1:4" x14ac:dyDescent="0.25">
      <c r="A34" s="31" t="s">
        <v>114</v>
      </c>
      <c r="B34" s="32"/>
      <c r="C34" s="32"/>
      <c r="D34" s="32"/>
    </row>
    <row r="35" spans="1:4" x14ac:dyDescent="0.25">
      <c r="A35" s="31" t="s">
        <v>115</v>
      </c>
      <c r="B35" s="32"/>
      <c r="C35" s="32"/>
      <c r="D35" s="32"/>
    </row>
    <row r="36" spans="1:4" x14ac:dyDescent="0.25">
      <c r="A36" s="31" t="s">
        <v>116</v>
      </c>
      <c r="B36" s="33"/>
      <c r="C36" s="32"/>
      <c r="D36" s="32"/>
    </row>
    <row r="37" spans="1:4" x14ac:dyDescent="0.25">
      <c r="A37" s="31" t="s">
        <v>117</v>
      </c>
      <c r="B37" s="33"/>
      <c r="C37" s="32"/>
      <c r="D37" s="32"/>
    </row>
    <row r="38" spans="1:4" ht="26.4" x14ac:dyDescent="0.25">
      <c r="A38" s="34" t="s">
        <v>118</v>
      </c>
      <c r="B38" s="33"/>
      <c r="C38" s="32"/>
      <c r="D38" s="32"/>
    </row>
  </sheetData>
  <mergeCells count="4">
    <mergeCell ref="B2:D2"/>
    <mergeCell ref="F4:G4"/>
    <mergeCell ref="F2:G2"/>
    <mergeCell ref="F3:G3"/>
  </mergeCells>
  <phoneticPr fontId="0" type="noConversion"/>
  <pageMargins left="0.75" right="0.75" top="1" bottom="1" header="0.5" footer="0.5"/>
  <pageSetup paperSize="9" orientation="portrait" horizontalDpi="360" verticalDpi="360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8"/>
  <sheetViews>
    <sheetView workbookViewId="0">
      <selection activeCell="C21" sqref="C21"/>
    </sheetView>
  </sheetViews>
  <sheetFormatPr defaultRowHeight="13.2" x14ac:dyDescent="0.25"/>
  <cols>
    <col min="1" max="1" width="8.44140625" customWidth="1"/>
    <col min="2" max="2" width="8.5546875" customWidth="1"/>
    <col min="3" max="3" width="8.6640625" customWidth="1"/>
    <col min="4" max="4" width="8.88671875" customWidth="1"/>
    <col min="5" max="5" width="7.6640625" customWidth="1"/>
    <col min="6" max="6" width="9.44140625" customWidth="1"/>
    <col min="7" max="7" width="9.33203125" customWidth="1"/>
    <col min="8" max="8" width="8.5546875" customWidth="1"/>
    <col min="9" max="9" width="6.33203125" customWidth="1"/>
    <col min="10" max="11" width="6.109375" customWidth="1"/>
    <col min="12" max="12" width="6.5546875" customWidth="1"/>
  </cols>
  <sheetData>
    <row r="1" spans="1:22" ht="28.2" x14ac:dyDescent="0.5">
      <c r="F1" s="87" t="s">
        <v>168</v>
      </c>
    </row>
    <row r="3" spans="1:22" ht="15" x14ac:dyDescent="0.25">
      <c r="A3" s="88">
        <v>190</v>
      </c>
      <c r="B3" s="88">
        <v>211</v>
      </c>
      <c r="C3" s="88">
        <v>191</v>
      </c>
      <c r="D3" s="88">
        <v>195</v>
      </c>
      <c r="E3" s="88">
        <v>224</v>
      </c>
      <c r="F3" s="88">
        <v>207</v>
      </c>
      <c r="G3" s="88">
        <v>226</v>
      </c>
      <c r="H3" s="88">
        <v>219</v>
      </c>
      <c r="I3" s="88">
        <v>166</v>
      </c>
      <c r="J3" s="88">
        <v>223</v>
      </c>
      <c r="K3" s="88">
        <v>193</v>
      </c>
      <c r="L3" s="88">
        <v>170</v>
      </c>
    </row>
    <row r="4" spans="1:22" ht="15" x14ac:dyDescent="0.25">
      <c r="A4" s="88">
        <v>204</v>
      </c>
      <c r="B4" s="88">
        <v>196</v>
      </c>
      <c r="C4" s="88">
        <v>228</v>
      </c>
      <c r="D4" s="88">
        <v>200</v>
      </c>
      <c r="E4" s="88">
        <v>210</v>
      </c>
      <c r="F4" s="88">
        <v>233</v>
      </c>
      <c r="G4" s="88">
        <v>223</v>
      </c>
      <c r="H4" s="88">
        <v>249</v>
      </c>
      <c r="I4" s="88">
        <v>223</v>
      </c>
      <c r="J4" s="88">
        <v>217</v>
      </c>
      <c r="K4" s="88">
        <v>202</v>
      </c>
      <c r="L4" s="88">
        <v>239</v>
      </c>
    </row>
    <row r="5" spans="1:22" ht="15" x14ac:dyDescent="0.25">
      <c r="A5" s="88">
        <v>192</v>
      </c>
      <c r="B5" s="88">
        <v>198</v>
      </c>
      <c r="C5" s="88">
        <v>231</v>
      </c>
      <c r="D5" s="88">
        <v>201</v>
      </c>
      <c r="E5" s="88">
        <v>218</v>
      </c>
      <c r="F5" s="88">
        <v>231</v>
      </c>
      <c r="G5" s="88">
        <v>230</v>
      </c>
      <c r="H5" s="88">
        <v>221</v>
      </c>
      <c r="I5" s="88">
        <v>222</v>
      </c>
      <c r="J5" s="88">
        <v>179</v>
      </c>
      <c r="K5" s="88">
        <v>245</v>
      </c>
      <c r="L5" s="88">
        <v>173</v>
      </c>
    </row>
    <row r="6" spans="1:22" ht="15" x14ac:dyDescent="0.25">
      <c r="A6" s="88">
        <v>211</v>
      </c>
      <c r="B6" s="88">
        <v>224</v>
      </c>
      <c r="C6" s="88">
        <v>202</v>
      </c>
      <c r="D6" s="88">
        <v>254</v>
      </c>
      <c r="E6" s="88">
        <v>200</v>
      </c>
      <c r="F6" s="88">
        <v>195</v>
      </c>
      <c r="G6" s="88">
        <v>220</v>
      </c>
      <c r="H6" s="88">
        <v>221</v>
      </c>
      <c r="I6" s="88">
        <v>221</v>
      </c>
      <c r="J6" s="88">
        <v>197</v>
      </c>
      <c r="K6" s="88">
        <v>189</v>
      </c>
      <c r="L6" s="88">
        <v>231</v>
      </c>
    </row>
    <row r="7" spans="1:22" ht="15" x14ac:dyDescent="0.25">
      <c r="A7" s="88">
        <v>235</v>
      </c>
      <c r="B7" s="88">
        <v>168</v>
      </c>
      <c r="C7" s="88">
        <v>199</v>
      </c>
      <c r="D7" s="88">
        <v>242</v>
      </c>
      <c r="E7" s="88">
        <v>229</v>
      </c>
      <c r="F7" s="88">
        <v>199</v>
      </c>
      <c r="G7" s="88">
        <v>222</v>
      </c>
      <c r="H7" s="88">
        <v>193</v>
      </c>
      <c r="I7" s="88">
        <v>217</v>
      </c>
      <c r="J7" s="88">
        <v>181</v>
      </c>
      <c r="K7" s="88">
        <v>204</v>
      </c>
      <c r="L7" s="88">
        <v>246</v>
      </c>
    </row>
    <row r="8" spans="1:22" ht="15" x14ac:dyDescent="0.25">
      <c r="A8" s="88">
        <v>240</v>
      </c>
      <c r="B8" s="88">
        <v>216</v>
      </c>
      <c r="C8" s="88">
        <v>245</v>
      </c>
      <c r="D8" s="88">
        <v>212</v>
      </c>
      <c r="E8" s="88">
        <v>202</v>
      </c>
      <c r="F8" s="88">
        <v>241</v>
      </c>
      <c r="G8" s="88">
        <v>215</v>
      </c>
      <c r="H8" s="88">
        <v>199</v>
      </c>
      <c r="I8" s="88">
        <v>193</v>
      </c>
      <c r="J8" s="88">
        <v>223</v>
      </c>
      <c r="K8" s="88">
        <v>233</v>
      </c>
      <c r="L8" s="88">
        <v>227</v>
      </c>
    </row>
    <row r="9" spans="1:22" ht="15" x14ac:dyDescent="0.25">
      <c r="A9" s="88">
        <v>211</v>
      </c>
      <c r="B9" s="88">
        <v>217</v>
      </c>
      <c r="C9" s="88">
        <v>245</v>
      </c>
      <c r="D9" s="88">
        <v>206</v>
      </c>
      <c r="E9" s="88">
        <v>252</v>
      </c>
      <c r="F9" s="88">
        <v>172</v>
      </c>
      <c r="G9" s="88">
        <v>225</v>
      </c>
      <c r="H9" s="88">
        <v>223</v>
      </c>
      <c r="I9" s="88">
        <v>206</v>
      </c>
      <c r="J9" s="88">
        <v>183</v>
      </c>
      <c r="K9" s="88">
        <v>214</v>
      </c>
      <c r="L9" s="88">
        <v>210</v>
      </c>
    </row>
    <row r="10" spans="1:22" ht="15" x14ac:dyDescent="0.25">
      <c r="A10" s="88">
        <v>210</v>
      </c>
      <c r="B10" s="88">
        <v>206</v>
      </c>
      <c r="C10" s="88">
        <v>182</v>
      </c>
      <c r="D10" s="88">
        <v>225</v>
      </c>
      <c r="E10" s="88">
        <v>225</v>
      </c>
      <c r="F10" s="88">
        <v>196</v>
      </c>
      <c r="G10" s="88">
        <v>227</v>
      </c>
      <c r="H10" s="88">
        <v>210</v>
      </c>
      <c r="I10" s="88">
        <v>181</v>
      </c>
      <c r="J10" s="88">
        <v>205</v>
      </c>
      <c r="K10" s="88">
        <v>180</v>
      </c>
      <c r="L10" s="88">
        <v>203</v>
      </c>
    </row>
    <row r="11" spans="1:22" ht="15" x14ac:dyDescent="0.25">
      <c r="A11" s="88">
        <v>216</v>
      </c>
      <c r="B11" s="88">
        <v>243</v>
      </c>
      <c r="C11" s="88">
        <v>206</v>
      </c>
      <c r="D11" s="88">
        <v>227</v>
      </c>
      <c r="E11" s="88">
        <v>199</v>
      </c>
      <c r="F11" s="88">
        <v>255</v>
      </c>
      <c r="G11" s="88">
        <v>229</v>
      </c>
      <c r="H11" s="88">
        <v>192</v>
      </c>
      <c r="I11" s="88">
        <v>178</v>
      </c>
      <c r="J11" s="88">
        <v>188</v>
      </c>
      <c r="K11" s="88">
        <v>191</v>
      </c>
      <c r="L11" s="88">
        <v>199</v>
      </c>
    </row>
    <row r="12" spans="1:22" ht="15" x14ac:dyDescent="0.25">
      <c r="A12" s="88">
        <v>206</v>
      </c>
      <c r="B12" s="88">
        <v>194</v>
      </c>
      <c r="C12" s="88">
        <v>205</v>
      </c>
      <c r="D12" s="88">
        <v>192</v>
      </c>
      <c r="E12" s="88">
        <v>208</v>
      </c>
      <c r="F12" s="88">
        <v>191</v>
      </c>
      <c r="G12" s="88">
        <v>231</v>
      </c>
      <c r="H12" s="88">
        <v>228</v>
      </c>
      <c r="I12" s="88">
        <v>210</v>
      </c>
      <c r="J12" s="88">
        <v>243</v>
      </c>
      <c r="K12" s="88">
        <v>209</v>
      </c>
      <c r="L12" s="88">
        <v>207</v>
      </c>
    </row>
    <row r="13" spans="1:22" ht="15" x14ac:dyDescent="0.25">
      <c r="A13" s="88">
        <v>207</v>
      </c>
      <c r="B13" s="88">
        <v>232</v>
      </c>
      <c r="C13" s="88">
        <v>201</v>
      </c>
      <c r="D13" s="88">
        <v>194</v>
      </c>
      <c r="E13" s="88">
        <v>212</v>
      </c>
      <c r="F13" s="88"/>
      <c r="G13" s="88"/>
      <c r="H13" s="88"/>
      <c r="I13" s="88"/>
      <c r="J13" s="88"/>
      <c r="K13" s="88"/>
      <c r="L13" s="88"/>
    </row>
    <row r="15" spans="1:22" ht="13.8" x14ac:dyDescent="0.25">
      <c r="A15" s="172" t="s">
        <v>196</v>
      </c>
      <c r="B15" s="172"/>
      <c r="C15" s="89"/>
      <c r="V15" s="92"/>
    </row>
    <row r="16" spans="1:22" ht="15.6" x14ac:dyDescent="0.3">
      <c r="A16" s="90"/>
      <c r="B16" s="90"/>
      <c r="F16" s="35" t="s">
        <v>197</v>
      </c>
      <c r="G16" s="35" t="s">
        <v>198</v>
      </c>
      <c r="H16" s="35" t="s">
        <v>199</v>
      </c>
      <c r="V16" s="92"/>
    </row>
    <row r="17" spans="1:22" ht="13.8" x14ac:dyDescent="0.25">
      <c r="A17" s="172" t="s">
        <v>200</v>
      </c>
      <c r="B17" s="173"/>
      <c r="C17" s="89"/>
      <c r="F17" s="6"/>
      <c r="G17" s="6"/>
      <c r="V17" s="92"/>
    </row>
    <row r="18" spans="1:22" ht="13.8" x14ac:dyDescent="0.25">
      <c r="A18" s="90"/>
      <c r="B18" s="90"/>
      <c r="F18" s="6"/>
      <c r="G18" s="6"/>
      <c r="V18" s="92"/>
    </row>
    <row r="19" spans="1:22" ht="13.8" x14ac:dyDescent="0.25">
      <c r="A19" s="172" t="s">
        <v>201</v>
      </c>
      <c r="B19" s="173"/>
      <c r="C19" s="89"/>
      <c r="F19" s="6"/>
      <c r="G19" s="6"/>
      <c r="V19" s="92"/>
    </row>
    <row r="20" spans="1:22" ht="13.8" x14ac:dyDescent="0.25">
      <c r="A20" s="90"/>
      <c r="B20" s="90"/>
      <c r="F20" s="6"/>
      <c r="G20" s="6"/>
      <c r="V20" s="92"/>
    </row>
    <row r="21" spans="1:22" ht="13.8" x14ac:dyDescent="0.25">
      <c r="A21" s="172" t="s">
        <v>202</v>
      </c>
      <c r="B21" s="173"/>
      <c r="C21" s="89"/>
      <c r="F21" s="6"/>
      <c r="G21" s="6"/>
      <c r="V21" s="92"/>
    </row>
    <row r="22" spans="1:22" ht="13.8" x14ac:dyDescent="0.25">
      <c r="A22" s="91"/>
      <c r="B22" s="91"/>
      <c r="F22" s="6"/>
      <c r="G22" s="6"/>
      <c r="V22" s="92"/>
    </row>
    <row r="23" spans="1:22" x14ac:dyDescent="0.25">
      <c r="F23" s="6"/>
      <c r="G23" s="6"/>
      <c r="V23" s="92"/>
    </row>
    <row r="24" spans="1:22" x14ac:dyDescent="0.25">
      <c r="F24" s="6"/>
      <c r="G24" s="6"/>
      <c r="V24" s="92"/>
    </row>
    <row r="25" spans="1:22" x14ac:dyDescent="0.25">
      <c r="A25" s="92"/>
      <c r="F25" s="6"/>
      <c r="G25" s="6"/>
    </row>
    <row r="26" spans="1:22" x14ac:dyDescent="0.25">
      <c r="A26" s="92"/>
      <c r="F26" s="6"/>
      <c r="G26" s="6"/>
    </row>
    <row r="27" spans="1:22" x14ac:dyDescent="0.25">
      <c r="A27" s="92"/>
      <c r="F27" s="6"/>
      <c r="G27" s="6"/>
    </row>
    <row r="28" spans="1:22" x14ac:dyDescent="0.25">
      <c r="A28" s="92"/>
      <c r="F28" s="6"/>
      <c r="G28" s="6"/>
    </row>
  </sheetData>
  <sortState ref="V15:V24">
    <sortCondition ref="V15"/>
  </sortState>
  <mergeCells count="4">
    <mergeCell ref="A15:B15"/>
    <mergeCell ref="A17:B17"/>
    <mergeCell ref="A19:B19"/>
    <mergeCell ref="A21:B21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5"/>
  <sheetViews>
    <sheetView tabSelected="1" workbookViewId="0">
      <selection activeCell="J16" sqref="J16"/>
    </sheetView>
  </sheetViews>
  <sheetFormatPr defaultRowHeight="13.2" x14ac:dyDescent="0.25"/>
  <cols>
    <col min="3" max="3" width="10.6640625" customWidth="1"/>
    <col min="4" max="4" width="11" customWidth="1"/>
    <col min="10" max="10" width="25.33203125" customWidth="1"/>
    <col min="11" max="11" width="19.44140625" customWidth="1"/>
    <col min="12" max="12" width="18.6640625" customWidth="1"/>
    <col min="13" max="13" width="22.44140625" customWidth="1"/>
    <col min="14" max="14" width="28" customWidth="1"/>
  </cols>
  <sheetData>
    <row r="1" spans="1:6" ht="17.399999999999999" x14ac:dyDescent="0.25">
      <c r="A1" s="174" t="s">
        <v>244</v>
      </c>
      <c r="B1" s="174"/>
      <c r="C1" s="174"/>
      <c r="D1" s="174"/>
      <c r="E1" s="174"/>
      <c r="F1" s="174"/>
    </row>
    <row r="2" spans="1:6" ht="15.6" x14ac:dyDescent="0.3">
      <c r="A2" s="137" t="s">
        <v>245</v>
      </c>
      <c r="F2" s="137" t="s">
        <v>246</v>
      </c>
    </row>
    <row r="3" spans="1:6" ht="13.8" x14ac:dyDescent="0.25">
      <c r="A3" s="138">
        <v>190</v>
      </c>
      <c r="B3" s="6"/>
      <c r="E3" s="6"/>
      <c r="F3" s="138">
        <v>226</v>
      </c>
    </row>
    <row r="4" spans="1:6" ht="13.8" x14ac:dyDescent="0.25">
      <c r="A4" s="138">
        <v>204</v>
      </c>
      <c r="B4" s="6"/>
      <c r="E4" s="6"/>
      <c r="F4" s="138">
        <v>223</v>
      </c>
    </row>
    <row r="5" spans="1:6" ht="13.8" x14ac:dyDescent="0.25">
      <c r="A5" s="138">
        <v>192</v>
      </c>
      <c r="B5" s="6"/>
      <c r="E5" s="6"/>
      <c r="F5" s="138">
        <v>203</v>
      </c>
    </row>
    <row r="6" spans="1:6" ht="13.8" x14ac:dyDescent="0.25">
      <c r="A6" s="138">
        <v>211</v>
      </c>
      <c r="B6" s="6"/>
      <c r="E6" s="6"/>
      <c r="F6" s="138">
        <v>255</v>
      </c>
    </row>
    <row r="7" spans="1:6" ht="13.8" x14ac:dyDescent="0.25">
      <c r="A7" s="138">
        <v>235</v>
      </c>
      <c r="B7" s="6"/>
      <c r="E7" s="6"/>
      <c r="F7" s="138">
        <v>213</v>
      </c>
    </row>
    <row r="8" spans="1:6" ht="13.8" x14ac:dyDescent="0.25">
      <c r="A8" s="138">
        <v>240</v>
      </c>
      <c r="B8" s="6"/>
      <c r="E8" s="6"/>
      <c r="F8" s="138">
        <v>215</v>
      </c>
    </row>
    <row r="9" spans="1:6" ht="13.8" x14ac:dyDescent="0.25">
      <c r="A9" s="138">
        <v>211</v>
      </c>
      <c r="B9" s="6"/>
      <c r="E9" s="6"/>
      <c r="F9" s="138">
        <v>200</v>
      </c>
    </row>
    <row r="10" spans="1:6" ht="13.8" x14ac:dyDescent="0.25">
      <c r="A10" s="138">
        <v>210</v>
      </c>
      <c r="B10" s="6"/>
      <c r="E10" s="6"/>
      <c r="F10" s="138">
        <v>227</v>
      </c>
    </row>
    <row r="11" spans="1:6" ht="13.8" x14ac:dyDescent="0.25">
      <c r="A11" s="138">
        <v>216</v>
      </c>
      <c r="B11" s="6"/>
      <c r="E11" s="6"/>
      <c r="F11" s="138">
        <v>229</v>
      </c>
    </row>
    <row r="12" spans="1:6" ht="13.8" x14ac:dyDescent="0.25">
      <c r="A12" s="138">
        <v>206</v>
      </c>
      <c r="B12" s="6"/>
      <c r="E12" s="6"/>
      <c r="F12" s="138">
        <v>231</v>
      </c>
    </row>
    <row r="13" spans="1:6" ht="13.8" x14ac:dyDescent="0.25">
      <c r="A13" s="139">
        <v>207</v>
      </c>
      <c r="B13" s="6"/>
      <c r="E13" s="6"/>
      <c r="F13" s="138">
        <v>219</v>
      </c>
    </row>
    <row r="14" spans="1:6" ht="13.8" x14ac:dyDescent="0.25">
      <c r="A14" s="138">
        <v>190</v>
      </c>
      <c r="B14" s="6"/>
      <c r="E14" s="6"/>
      <c r="F14" s="138">
        <v>200</v>
      </c>
    </row>
    <row r="15" spans="1:6" ht="13.8" x14ac:dyDescent="0.25">
      <c r="A15" s="138">
        <v>204</v>
      </c>
      <c r="B15" s="6"/>
      <c r="E15" s="6"/>
      <c r="F15" s="138">
        <v>221</v>
      </c>
    </row>
    <row r="16" spans="1:6" ht="13.8" x14ac:dyDescent="0.25">
      <c r="A16" s="138">
        <v>192</v>
      </c>
      <c r="B16" s="6"/>
      <c r="E16" s="6"/>
      <c r="F16" s="138">
        <v>221</v>
      </c>
    </row>
    <row r="17" spans="1:6" ht="13.8" x14ac:dyDescent="0.25">
      <c r="A17" s="138">
        <v>211</v>
      </c>
      <c r="B17" s="6"/>
      <c r="E17" s="6"/>
      <c r="F17" s="138">
        <v>193</v>
      </c>
    </row>
    <row r="18" spans="1:6" ht="13.8" x14ac:dyDescent="0.25">
      <c r="A18" s="138">
        <v>235</v>
      </c>
      <c r="B18" s="6"/>
      <c r="E18" s="6"/>
      <c r="F18" s="138">
        <v>199</v>
      </c>
    </row>
    <row r="19" spans="1:6" ht="13.8" x14ac:dyDescent="0.25">
      <c r="A19" s="138">
        <v>240</v>
      </c>
      <c r="B19" s="6"/>
      <c r="C19" s="6"/>
      <c r="D19" s="6"/>
      <c r="E19" s="6"/>
      <c r="F19" s="138">
        <v>199</v>
      </c>
    </row>
    <row r="20" spans="1:6" ht="13.8" x14ac:dyDescent="0.25">
      <c r="A20" s="138">
        <v>211</v>
      </c>
      <c r="B20" s="6"/>
      <c r="C20" s="6"/>
      <c r="D20" s="6"/>
      <c r="E20" s="6"/>
      <c r="F20" s="138">
        <v>210</v>
      </c>
    </row>
    <row r="21" spans="1:6" ht="13.8" x14ac:dyDescent="0.25">
      <c r="A21" s="138">
        <v>210</v>
      </c>
      <c r="B21" s="6"/>
      <c r="C21" s="6"/>
      <c r="D21" s="6"/>
      <c r="E21" s="6"/>
      <c r="F21" s="138">
        <v>192</v>
      </c>
    </row>
    <row r="22" spans="1:6" ht="13.8" x14ac:dyDescent="0.25">
      <c r="A22" s="138">
        <v>216</v>
      </c>
      <c r="B22" s="6"/>
      <c r="C22" s="6"/>
      <c r="D22" s="6"/>
      <c r="E22" s="6"/>
      <c r="F22" s="138">
        <v>228</v>
      </c>
    </row>
    <row r="23" spans="1:6" ht="13.8" x14ac:dyDescent="0.25">
      <c r="A23" s="138">
        <v>206</v>
      </c>
      <c r="B23" s="6"/>
      <c r="C23" s="6"/>
      <c r="D23" s="6"/>
      <c r="E23" s="6"/>
      <c r="F23" s="138">
        <v>166</v>
      </c>
    </row>
    <row r="24" spans="1:6" ht="13.8" x14ac:dyDescent="0.25">
      <c r="A24" s="139">
        <v>207</v>
      </c>
      <c r="B24" s="6"/>
      <c r="C24" s="6"/>
      <c r="D24" s="6"/>
      <c r="E24" s="6"/>
      <c r="F24" s="138">
        <v>223</v>
      </c>
    </row>
    <row r="25" spans="1:6" ht="13.8" x14ac:dyDescent="0.25">
      <c r="A25" s="138">
        <v>191</v>
      </c>
      <c r="B25" s="6"/>
      <c r="C25" s="6"/>
      <c r="D25" s="6"/>
      <c r="E25" s="6"/>
      <c r="F25" s="138">
        <v>220</v>
      </c>
    </row>
    <row r="26" spans="1:6" ht="13.8" x14ac:dyDescent="0.25">
      <c r="A26" s="138">
        <v>228</v>
      </c>
      <c r="B26" s="6"/>
      <c r="C26" s="6"/>
      <c r="D26" s="6"/>
      <c r="E26" s="6"/>
      <c r="F26" s="138">
        <v>221</v>
      </c>
    </row>
    <row r="27" spans="1:6" ht="13.8" x14ac:dyDescent="0.25">
      <c r="A27" s="138">
        <v>231</v>
      </c>
      <c r="B27" s="6"/>
      <c r="C27" s="6"/>
      <c r="D27" s="6"/>
      <c r="E27" s="6"/>
      <c r="F27" s="138">
        <v>170</v>
      </c>
    </row>
    <row r="28" spans="1:6" ht="13.8" x14ac:dyDescent="0.25">
      <c r="A28" s="138">
        <v>196</v>
      </c>
      <c r="B28" s="6"/>
      <c r="C28" s="6"/>
      <c r="D28" s="6"/>
      <c r="E28" s="6"/>
      <c r="F28" s="138">
        <v>193</v>
      </c>
    </row>
    <row r="29" spans="1:6" ht="13.8" x14ac:dyDescent="0.25">
      <c r="A29" s="138">
        <v>199</v>
      </c>
      <c r="B29" s="6"/>
      <c r="C29" s="6"/>
      <c r="D29" s="6"/>
      <c r="E29" s="6"/>
      <c r="F29" s="138">
        <v>206</v>
      </c>
    </row>
    <row r="30" spans="1:6" ht="13.8" x14ac:dyDescent="0.25">
      <c r="A30" s="138">
        <v>245</v>
      </c>
      <c r="B30" s="6"/>
      <c r="C30" s="6"/>
      <c r="D30" s="6"/>
      <c r="E30" s="6"/>
      <c r="F30" s="138">
        <v>181</v>
      </c>
    </row>
    <row r="31" spans="1:6" ht="13.8" x14ac:dyDescent="0.25">
      <c r="A31" s="138">
        <v>245</v>
      </c>
      <c r="B31" s="6"/>
      <c r="C31" s="6"/>
      <c r="D31" s="6"/>
      <c r="E31" s="6"/>
      <c r="F31" s="138">
        <v>178</v>
      </c>
    </row>
    <row r="32" spans="1:6" ht="13.8" x14ac:dyDescent="0.25">
      <c r="A32" s="138">
        <v>182</v>
      </c>
      <c r="B32" s="6"/>
      <c r="C32" s="6"/>
      <c r="D32" s="6"/>
      <c r="E32" s="6"/>
      <c r="F32" s="138">
        <v>210</v>
      </c>
    </row>
    <row r="33" spans="1:6" ht="13.8" x14ac:dyDescent="0.25">
      <c r="A33" s="138">
        <v>206</v>
      </c>
      <c r="B33" s="6"/>
      <c r="C33" s="6"/>
      <c r="D33" s="6"/>
      <c r="E33" s="6"/>
      <c r="F33" s="138">
        <v>223</v>
      </c>
    </row>
    <row r="34" spans="1:6" ht="13.8" x14ac:dyDescent="0.25">
      <c r="A34" s="138">
        <v>205</v>
      </c>
      <c r="B34" s="6"/>
      <c r="C34" s="6"/>
      <c r="D34" s="6"/>
      <c r="E34" s="6"/>
      <c r="F34" s="138">
        <v>217</v>
      </c>
    </row>
    <row r="35" spans="1:6" ht="13.8" x14ac:dyDescent="0.25">
      <c r="A35" s="138">
        <v>201</v>
      </c>
      <c r="B35" s="6"/>
      <c r="C35" s="6"/>
      <c r="D35" s="6"/>
      <c r="E35" s="6"/>
      <c r="F35" s="138">
        <v>179</v>
      </c>
    </row>
    <row r="36" spans="1:6" ht="13.8" x14ac:dyDescent="0.25">
      <c r="A36" s="138">
        <v>195</v>
      </c>
      <c r="B36" s="6"/>
      <c r="C36" s="6"/>
      <c r="D36" s="6"/>
      <c r="E36" s="6"/>
      <c r="F36" s="138">
        <v>197</v>
      </c>
    </row>
    <row r="37" spans="1:6" ht="13.8" x14ac:dyDescent="0.25">
      <c r="A37" s="138">
        <v>206</v>
      </c>
      <c r="B37" s="6"/>
      <c r="C37" s="6"/>
      <c r="D37" s="6"/>
      <c r="E37" s="6"/>
      <c r="F37" s="138">
        <v>181</v>
      </c>
    </row>
    <row r="38" spans="1:6" ht="13.8" x14ac:dyDescent="0.25">
      <c r="A38" s="138">
        <v>201</v>
      </c>
      <c r="B38" s="6"/>
      <c r="C38" s="6"/>
      <c r="D38" s="6"/>
      <c r="E38" s="6"/>
      <c r="F38" s="138">
        <v>180</v>
      </c>
    </row>
    <row r="39" spans="1:6" ht="13.8" x14ac:dyDescent="0.25">
      <c r="A39" s="138">
        <v>254</v>
      </c>
      <c r="B39" s="6"/>
      <c r="C39" s="6"/>
      <c r="D39" s="6"/>
      <c r="E39" s="6"/>
      <c r="F39" s="138">
        <v>191</v>
      </c>
    </row>
    <row r="40" spans="1:6" ht="13.8" x14ac:dyDescent="0.25">
      <c r="A40" s="138">
        <v>245</v>
      </c>
      <c r="B40" s="6"/>
      <c r="C40" s="6"/>
      <c r="D40" s="6"/>
      <c r="E40" s="6"/>
      <c r="F40" s="138">
        <v>205</v>
      </c>
    </row>
    <row r="41" spans="1:6" ht="13.8" x14ac:dyDescent="0.25">
      <c r="A41" s="138">
        <v>212</v>
      </c>
      <c r="B41" s="6"/>
      <c r="C41" s="6"/>
      <c r="D41" s="6"/>
      <c r="E41" s="6"/>
      <c r="F41" s="138">
        <v>188</v>
      </c>
    </row>
    <row r="42" spans="1:6" ht="13.8" x14ac:dyDescent="0.25">
      <c r="A42" s="138">
        <v>206</v>
      </c>
      <c r="B42" s="6"/>
      <c r="C42" s="6"/>
      <c r="D42" s="6"/>
      <c r="E42" s="6"/>
      <c r="F42" s="138">
        <v>213</v>
      </c>
    </row>
    <row r="43" spans="1:6" ht="13.8" x14ac:dyDescent="0.25">
      <c r="A43" s="138">
        <v>225</v>
      </c>
      <c r="B43" s="6"/>
      <c r="C43" s="6"/>
      <c r="D43" s="6"/>
      <c r="E43" s="6"/>
      <c r="F43" s="138">
        <v>193</v>
      </c>
    </row>
    <row r="44" spans="1:6" ht="13.8" x14ac:dyDescent="0.25">
      <c r="A44" s="138">
        <v>245</v>
      </c>
      <c r="B44" s="6"/>
      <c r="C44" s="6"/>
      <c r="D44" s="6"/>
      <c r="E44" s="6"/>
      <c r="F44" s="138">
        <v>202</v>
      </c>
    </row>
    <row r="45" spans="1:6" ht="13.8" x14ac:dyDescent="0.25">
      <c r="A45" s="138">
        <v>192</v>
      </c>
      <c r="B45" s="6"/>
      <c r="C45" s="6"/>
      <c r="D45" s="6"/>
      <c r="E45" s="6"/>
      <c r="F45" s="138">
        <v>245</v>
      </c>
    </row>
    <row r="46" spans="1:6" ht="13.8" x14ac:dyDescent="0.25">
      <c r="A46" s="139">
        <v>194</v>
      </c>
      <c r="B46" s="6"/>
      <c r="C46" s="6"/>
      <c r="D46" s="6"/>
      <c r="E46" s="6"/>
      <c r="F46" s="138">
        <v>189</v>
      </c>
    </row>
    <row r="47" spans="1:6" ht="13.8" x14ac:dyDescent="0.25">
      <c r="A47" s="138">
        <v>224</v>
      </c>
      <c r="B47" s="6"/>
      <c r="C47" s="6"/>
      <c r="D47" s="6"/>
      <c r="E47" s="6"/>
      <c r="F47" s="138">
        <v>204</v>
      </c>
    </row>
    <row r="48" spans="1:6" ht="13.8" x14ac:dyDescent="0.25">
      <c r="A48" s="138">
        <v>210</v>
      </c>
      <c r="B48" s="6"/>
      <c r="C48" s="6"/>
      <c r="D48" s="6"/>
      <c r="E48" s="6"/>
      <c r="F48" s="138">
        <v>233</v>
      </c>
    </row>
    <row r="49" spans="1:6" ht="13.8" x14ac:dyDescent="0.25">
      <c r="A49" s="138">
        <v>218</v>
      </c>
      <c r="B49" s="6"/>
      <c r="C49" s="6"/>
      <c r="D49" s="6"/>
      <c r="E49" s="6"/>
      <c r="F49" s="138">
        <v>214</v>
      </c>
    </row>
    <row r="50" spans="1:6" ht="13.8" x14ac:dyDescent="0.25">
      <c r="A50" s="138">
        <v>200</v>
      </c>
      <c r="B50" s="6"/>
      <c r="C50" s="6"/>
      <c r="D50" s="6"/>
      <c r="E50" s="6"/>
      <c r="F50" s="138">
        <v>180</v>
      </c>
    </row>
    <row r="51" spans="1:6" ht="13.8" x14ac:dyDescent="0.25">
      <c r="A51" s="138">
        <v>229</v>
      </c>
      <c r="B51" s="6"/>
      <c r="C51" s="6"/>
      <c r="D51" s="6"/>
      <c r="E51" s="6"/>
      <c r="F51" s="138">
        <v>191</v>
      </c>
    </row>
    <row r="52" spans="1:6" ht="13.8" x14ac:dyDescent="0.25">
      <c r="A52" s="138">
        <v>202</v>
      </c>
      <c r="B52" s="6"/>
      <c r="C52" s="6"/>
      <c r="D52" s="6"/>
      <c r="E52" s="6"/>
      <c r="F52" s="138">
        <v>209</v>
      </c>
    </row>
    <row r="53" spans="1:6" ht="13.8" x14ac:dyDescent="0.25">
      <c r="A53" s="138">
        <v>252</v>
      </c>
      <c r="B53" s="6"/>
      <c r="C53" s="6"/>
      <c r="D53" s="6"/>
      <c r="E53" s="6"/>
      <c r="F53" s="138">
        <v>170</v>
      </c>
    </row>
    <row r="54" spans="1:6" ht="13.8" x14ac:dyDescent="0.25">
      <c r="A54" s="138">
        <v>225</v>
      </c>
      <c r="B54" s="6"/>
      <c r="C54" s="6"/>
      <c r="D54" s="6"/>
      <c r="E54" s="6"/>
      <c r="F54" s="138">
        <v>239</v>
      </c>
    </row>
    <row r="55" spans="1:6" ht="13.8" x14ac:dyDescent="0.25">
      <c r="A55" s="138">
        <v>199</v>
      </c>
      <c r="B55" s="6"/>
      <c r="C55" s="6"/>
      <c r="D55" s="6"/>
      <c r="E55" s="6"/>
      <c r="F55" s="138">
        <v>173</v>
      </c>
    </row>
    <row r="56" spans="1:6" ht="13.8" x14ac:dyDescent="0.25">
      <c r="A56" s="138">
        <v>208</v>
      </c>
      <c r="B56" s="6"/>
      <c r="C56" s="6"/>
      <c r="D56" s="6"/>
      <c r="E56" s="6"/>
      <c r="F56" s="138">
        <v>231</v>
      </c>
    </row>
    <row r="57" spans="1:6" ht="13.8" x14ac:dyDescent="0.25">
      <c r="A57" s="139">
        <v>212</v>
      </c>
      <c r="B57" s="136"/>
      <c r="C57" s="6"/>
      <c r="D57" s="6"/>
      <c r="E57" s="6"/>
      <c r="F57" s="138">
        <v>246</v>
      </c>
    </row>
    <row r="58" spans="1:6" ht="13.8" x14ac:dyDescent="0.25">
      <c r="A58" s="138">
        <v>207</v>
      </c>
      <c r="B58" s="6"/>
      <c r="C58" s="6"/>
      <c r="D58" s="6"/>
      <c r="E58" s="6"/>
      <c r="F58" s="138">
        <v>227</v>
      </c>
    </row>
    <row r="59" spans="1:6" ht="13.8" x14ac:dyDescent="0.25">
      <c r="A59" s="138">
        <v>233</v>
      </c>
      <c r="B59" s="6"/>
      <c r="C59" s="6"/>
      <c r="D59" s="6"/>
      <c r="E59" s="6"/>
      <c r="F59" s="138">
        <v>210</v>
      </c>
    </row>
    <row r="60" spans="1:6" ht="13.8" x14ac:dyDescent="0.25">
      <c r="A60" s="138">
        <v>231</v>
      </c>
      <c r="B60" s="6"/>
      <c r="C60" s="6"/>
      <c r="D60" s="6"/>
      <c r="E60" s="6"/>
      <c r="F60" s="138">
        <v>203</v>
      </c>
    </row>
    <row r="61" spans="1:6" ht="13.8" x14ac:dyDescent="0.25">
      <c r="A61" s="138">
        <v>195</v>
      </c>
      <c r="B61" s="6"/>
      <c r="C61" s="6"/>
      <c r="D61" s="6"/>
      <c r="E61" s="6"/>
      <c r="F61" s="138">
        <v>199</v>
      </c>
    </row>
    <row r="62" spans="1:6" ht="13.8" x14ac:dyDescent="0.25">
      <c r="A62" s="138">
        <v>199</v>
      </c>
      <c r="B62" s="6"/>
      <c r="C62" s="6"/>
      <c r="D62" s="6"/>
      <c r="E62" s="6"/>
      <c r="F62" s="138">
        <v>207</v>
      </c>
    </row>
    <row r="63" spans="1:6" ht="13.8" x14ac:dyDescent="0.25">
      <c r="A63" s="138">
        <v>241</v>
      </c>
      <c r="B63" s="6"/>
      <c r="C63" s="6"/>
      <c r="D63" s="6"/>
      <c r="E63" s="6"/>
      <c r="F63" s="138">
        <v>210</v>
      </c>
    </row>
    <row r="64" spans="1:6" ht="13.8" x14ac:dyDescent="0.25">
      <c r="A64" s="138">
        <v>172</v>
      </c>
      <c r="B64" s="6"/>
      <c r="C64" s="6"/>
      <c r="D64" s="6"/>
      <c r="E64" s="6"/>
      <c r="F64" s="138">
        <v>204</v>
      </c>
    </row>
    <row r="65" spans="1:6" ht="13.8" x14ac:dyDescent="0.25">
      <c r="A65" s="138">
        <v>200</v>
      </c>
      <c r="B65" s="6"/>
      <c r="C65" s="6"/>
      <c r="D65" s="6"/>
      <c r="E65" s="6"/>
      <c r="F65" s="138">
        <v>177</v>
      </c>
    </row>
  </sheetData>
  <mergeCells count="1">
    <mergeCell ref="A1:F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11</vt:i4>
      </vt:variant>
      <vt:variant>
        <vt:lpstr>Zakresy nazwane</vt:lpstr>
      </vt:variant>
      <vt:variant>
        <vt:i4>51</vt:i4>
      </vt:variant>
    </vt:vector>
  </HeadingPairs>
  <TitlesOfParts>
    <vt:vector size="62" baseType="lpstr">
      <vt:lpstr>1- f-cja mat i stat 1</vt:lpstr>
      <vt:lpstr>2- f-cja jeżeli()</vt:lpstr>
      <vt:lpstr>3 f-cja jeżeli()+oraz()</vt:lpstr>
      <vt:lpstr>4- f-cja jeżeli()</vt:lpstr>
      <vt:lpstr>5 f-cja jeżeli()</vt:lpstr>
      <vt:lpstr>6- f-cja licz.jeżeli</vt:lpstr>
      <vt:lpstr>7- f-cja licz.jeżeli()</vt:lpstr>
      <vt:lpstr>8-suma i średnia.jeżeli</vt:lpstr>
      <vt:lpstr>9- statystyczne</vt:lpstr>
      <vt:lpstr>10_szereg rozdzielczy</vt:lpstr>
      <vt:lpstr>11-Statystyka opisowa</vt:lpstr>
      <vt:lpstr>'7- f-cja licz.jeżeli()'!TABLE_10</vt:lpstr>
      <vt:lpstr>'7- f-cja licz.jeżeli()'!TABLE_11</vt:lpstr>
      <vt:lpstr>'7- f-cja licz.jeżeli()'!TABLE_12</vt:lpstr>
      <vt:lpstr>'7- f-cja licz.jeżeli()'!TABLE_13</vt:lpstr>
      <vt:lpstr>'7- f-cja licz.jeżeli()'!TABLE_14</vt:lpstr>
      <vt:lpstr>'7- f-cja licz.jeżeli()'!TABLE_15</vt:lpstr>
      <vt:lpstr>'7- f-cja licz.jeżeli()'!TABLE_16</vt:lpstr>
      <vt:lpstr>'7- f-cja licz.jeżeli()'!TABLE_17</vt:lpstr>
      <vt:lpstr>'7- f-cja licz.jeżeli()'!TABLE_18</vt:lpstr>
      <vt:lpstr>'7- f-cja licz.jeżeli()'!TABLE_19</vt:lpstr>
      <vt:lpstr>'7- f-cja licz.jeżeli()'!TABLE_2</vt:lpstr>
      <vt:lpstr>'7- f-cja licz.jeżeli()'!TABLE_20</vt:lpstr>
      <vt:lpstr>'7- f-cja licz.jeżeli()'!TABLE_21</vt:lpstr>
      <vt:lpstr>'7- f-cja licz.jeżeli()'!TABLE_22</vt:lpstr>
      <vt:lpstr>'7- f-cja licz.jeżeli()'!TABLE_23</vt:lpstr>
      <vt:lpstr>'7- f-cja licz.jeżeli()'!TABLE_24</vt:lpstr>
      <vt:lpstr>'7- f-cja licz.jeżeli()'!TABLE_25</vt:lpstr>
      <vt:lpstr>'7- f-cja licz.jeżeli()'!TABLE_26</vt:lpstr>
      <vt:lpstr>'7- f-cja licz.jeżeli()'!TABLE_27</vt:lpstr>
      <vt:lpstr>'7- f-cja licz.jeżeli()'!TABLE_28</vt:lpstr>
      <vt:lpstr>'7- f-cja licz.jeżeli()'!TABLE_29</vt:lpstr>
      <vt:lpstr>'7- f-cja licz.jeżeli()'!TABLE_3</vt:lpstr>
      <vt:lpstr>'7- f-cja licz.jeżeli()'!TABLE_30</vt:lpstr>
      <vt:lpstr>'7- f-cja licz.jeżeli()'!TABLE_31</vt:lpstr>
      <vt:lpstr>'7- f-cja licz.jeżeli()'!TABLE_32</vt:lpstr>
      <vt:lpstr>'7- f-cja licz.jeżeli()'!TABLE_33</vt:lpstr>
      <vt:lpstr>'7- f-cja licz.jeżeli()'!TABLE_34</vt:lpstr>
      <vt:lpstr>'7- f-cja licz.jeżeli()'!TABLE_35</vt:lpstr>
      <vt:lpstr>'7- f-cja licz.jeżeli()'!TABLE_36</vt:lpstr>
      <vt:lpstr>'7- f-cja licz.jeżeli()'!TABLE_37</vt:lpstr>
      <vt:lpstr>'7- f-cja licz.jeżeli()'!TABLE_38</vt:lpstr>
      <vt:lpstr>'7- f-cja licz.jeżeli()'!TABLE_39</vt:lpstr>
      <vt:lpstr>'7- f-cja licz.jeżeli()'!TABLE_4</vt:lpstr>
      <vt:lpstr>'7- f-cja licz.jeżeli()'!TABLE_40</vt:lpstr>
      <vt:lpstr>'7- f-cja licz.jeżeli()'!TABLE_41</vt:lpstr>
      <vt:lpstr>'7- f-cja licz.jeżeli()'!TABLE_42</vt:lpstr>
      <vt:lpstr>'7- f-cja licz.jeżeli()'!TABLE_43</vt:lpstr>
      <vt:lpstr>'7- f-cja licz.jeżeli()'!TABLE_44</vt:lpstr>
      <vt:lpstr>'7- f-cja licz.jeżeli()'!TABLE_45</vt:lpstr>
      <vt:lpstr>'7- f-cja licz.jeżeli()'!TABLE_46</vt:lpstr>
      <vt:lpstr>'7- f-cja licz.jeżeli()'!TABLE_47</vt:lpstr>
      <vt:lpstr>'7- f-cja licz.jeżeli()'!TABLE_48</vt:lpstr>
      <vt:lpstr>'7- f-cja licz.jeżeli()'!TABLE_49</vt:lpstr>
      <vt:lpstr>'7- f-cja licz.jeżeli()'!TABLE_5</vt:lpstr>
      <vt:lpstr>'7- f-cja licz.jeżeli()'!TABLE_50</vt:lpstr>
      <vt:lpstr>'7- f-cja licz.jeżeli()'!TABLE_51</vt:lpstr>
      <vt:lpstr>'7- f-cja licz.jeżeli()'!TABLE_52</vt:lpstr>
      <vt:lpstr>'7- f-cja licz.jeżeli()'!TABLE_6</vt:lpstr>
      <vt:lpstr>'7- f-cja licz.jeżeli()'!TABLE_7</vt:lpstr>
      <vt:lpstr>'7- f-cja licz.jeżeli()'!TABLE_8</vt:lpstr>
      <vt:lpstr>'7- f-cja licz.jeżeli()'!TABLE_9</vt:lpstr>
    </vt:vector>
  </TitlesOfParts>
  <Company>OLSZTYN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BDK</dc:creator>
  <cp:lastModifiedBy>Krzysztof</cp:lastModifiedBy>
  <dcterms:created xsi:type="dcterms:W3CDTF">2011-09-08T07:07:01Z</dcterms:created>
  <dcterms:modified xsi:type="dcterms:W3CDTF">2025-04-23T05:17:33Z</dcterms:modified>
</cp:coreProperties>
</file>